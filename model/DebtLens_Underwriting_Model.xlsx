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99380eeef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2bc442d3a14706"/>
    <x:sheet xmlns:r="http://schemas.openxmlformats.org/officeDocument/2006/relationships" name="Assumptions" sheetId="2" r:id="R2e526b39bc364845"/>
    <x:sheet xmlns:r="http://schemas.openxmlformats.org/officeDocument/2006/relationships" name="Operating Forecast" sheetId="3" r:id="R9c8e32dd063b448d"/>
    <x:sheet xmlns:r="http://schemas.openxmlformats.org/officeDocument/2006/relationships" name="Debt Schedule" sheetId="4" r:id="R9f575280d7054e65"/>
    <x:sheet xmlns:r="http://schemas.openxmlformats.org/officeDocument/2006/relationships" name="Sensitivity" sheetId="5" r:id="R1c68e8a1bf5441f4"/>
    <x:sheet xmlns:r="http://schemas.openxmlformats.org/officeDocument/2006/relationships" name="Comparable Sales" sheetId="6" r:id="R6ca8a151c3254652"/>
    <x:sheet xmlns:r="http://schemas.openxmlformats.org/officeDocument/2006/relationships" name="Audit" sheetId="7" r:id="R49e184a855b5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"/>
    <x:numFmt numFmtId="201" formatCode="$0.00"/>
    <x:numFmt numFmtId="202" formatCode="0.0%"/>
    <x:numFmt numFmtId="203" formatCode="0.00%"/>
    <x:numFmt numFmtId="204" formatCode="$#,##0;[Red]($#,##0);-"/>
    <x:numFmt numFmtId="205" formatCode="0"/>
    <x:numFmt numFmtId="206" formatCode="0.00x"/>
    <x:numFmt numFmtId="207" formatCode="$#,##0"/>
    <x:numFmt numFmtId="208" formatCode="dd-mmm-yy"/>
    <x:numFmt numFmtId="209" formatCode="$0.0,,&quot;M&quot;"/>
    <x:numFmt numFmtId="210" formatCode="0%"/>
    <x:numFmt numFmtId="211" formatCode="$#,##0.00;[Red]($#,##0.00);-"/>
  </x:numFmts>
  <x:fonts count="10">
    <x:font>
      <x:sz val="11"/>
      <x:name val="Carlito"/>
    </x:font>
    <x:font>
      <x:sz val="10"/>
      <x:color rgb="FF1F1F1F"/>
      <x:name val="Arial"/>
    </x:font>
    <x:font>
      <x:b/>
      <x:sz val="16"/>
      <x:color rgb="FF17365D"/>
      <x:name val="Arial"/>
    </x:font>
    <x:font>
      <x:b/>
      <x:sz val="10"/>
      <x:color rgb="FF1F1F1F"/>
      <x:name val="Arial"/>
    </x:font>
    <x:font>
      <x:b/>
      <x:sz val="10"/>
      <x:color rgb="FF0000F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i/>
      <x:sz val="9"/>
      <x:color rgb="FF666666"/>
      <x:name val="Arial"/>
    </x:font>
    <x:font>
      <x:b/>
      <x:sz val="10"/>
      <x:color rgb="FF008000"/>
      <x:name val="Arial"/>
    </x:font>
    <x:font>
      <x:b/>
      <x:sz val="11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</x:fills>
  <x:borders count="9">
    <x:border/>
    <x:border>
      <x:bottom style="thin">
        <x:color rgb="FF17365D"/>
      </x:bottom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202" fontId="6" fillId="2" borderId="0" xfId="0" applyNumberFormat="1" applyFont="1" applyFill="1" applyBorder="1" applyAlignment="1">
      <x:alignment vertical="center"/>
    </x:xf>
    <x:xf numFmtId="203" fontId="6" fillId="2" borderId="0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5" fontId="6" fillId="2" borderId="0" xfId="0" applyNumberFormat="1" applyFont="1" applyFill="1" applyBorder="1" applyAlignment="1">
      <x:alignment vertical="center"/>
    </x:xf>
    <x:xf numFmtId="206" fontId="6" fillId="2" borderId="0" xfId="0" applyNumberFormat="1" applyFont="1" applyFill="1" applyBorder="1" applyAlignment="1">
      <x:alignment vertical="center"/>
    </x:xf>
    <x:xf numFmtId="207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/>
    </x:xf>
    <x:xf numFmtId="202" fontId="6" fillId="2" borderId="6" xfId="0" applyNumberFormat="1" applyFont="1" applyFill="1" applyBorder="1" applyAlignment="1">
      <x:alignment vertical="center"/>
    </x:xf>
    <x:xf numFmtId="207" fontId="6" fillId="2" borderId="6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4" fontId="3" fillId="0" borderId="8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4" fontId="3" fillId="5" borderId="0" xfId="0" applyNumberFormat="1" applyFont="1" applyFill="1" applyBorder="1" applyAlignment="1">
      <x:alignment vertical="center"/>
    </x:xf>
    <x:xf numFmtId="0" fontId="3" fillId="5" borderId="8" xfId="0" applyNumberFormat="1" applyFont="1" applyFill="1" applyBorder="1" applyAlignment="1">
      <x:alignment vertical="center"/>
    </x:xf>
    <x:xf numFmtId="204" fontId="3" fillId="5" borderId="8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9" fontId="1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3" fontId="5" fillId="4" borderId="7" xfId="0" applyNumberFormat="1" applyFont="1" applyFill="1" applyBorder="1" applyAlignment="1">
      <x:alignment horizontal="center" vertical="center" wrapText="1"/>
    </x:xf>
    <x:xf numFmtId="210" fontId="1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cb95838364159" /><Relationship Type="http://schemas.openxmlformats.org/officeDocument/2006/relationships/theme" Target="/xl/theme/theme1.xml" Id="R9e456a0e73d14770" /><Relationship Type="http://schemas.openxmlformats.org/officeDocument/2006/relationships/sharedStrings" Target="/xl/sharedStrings.xml" Id="R4f4d23cd87714d9e" /><Relationship Type="http://schemas.openxmlformats.org/officeDocument/2006/relationships/worksheet" Target="/xl/worksheets/sheet1.xml" Id="Rb82bc442d3a14706" /><Relationship Type="http://schemas.openxmlformats.org/officeDocument/2006/relationships/worksheet" Target="/xl/worksheets/sheet2.xml" Id="R2e526b39bc364845" /><Relationship Type="http://schemas.openxmlformats.org/officeDocument/2006/relationships/worksheet" Target="/xl/worksheets/sheet3.xml" Id="R9c8e32dd063b448d" /><Relationship Type="http://schemas.openxmlformats.org/officeDocument/2006/relationships/worksheet" Target="/xl/worksheets/sheet4.xml" Id="R9f575280d7054e65" /><Relationship Type="http://schemas.openxmlformats.org/officeDocument/2006/relationships/worksheet" Target="/xl/worksheets/sheet5.xml" Id="R1c68e8a1bf5441f4" /><Relationship Type="http://schemas.openxmlformats.org/officeDocument/2006/relationships/worksheet" Target="/xl/worksheets/sheet6.xml" Id="R6ca8a151c3254652" /><Relationship Type="http://schemas.openxmlformats.org/officeDocument/2006/relationships/worksheet" Target="/xl/worksheets/sheet7.xml" Id="R49e184a855b549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c0c004669e4a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Loan sizing constraints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'Summary'!$G$8:$G$11</c:f>
              <c:strCache>
                <c:ptCount val="0"/>
              </c:strCache>
            </c:strRef>
          </c:cat>
          <c:val>
            <c:numRef>
              <c:f>'Summary'!$H$8:$H$11</c:f>
              <c:numCache>
                <c:formatCode>$0.0,,"M"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c0c004669e4a9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d912c015694fd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3" max="3" width="34" hidden="0" customWidth="1"/>
    <x:col min="4" max="4" width="29" hidden="0" customWidth="1"/>
    <x:col min="6" max="6" width="4" hidden="0" customWidth="1"/>
    <x:col min="1" max="1" width="3" hidden="0" customWidth="1"/>
    <x:col min="2" max="2" width="3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19.200000762939453" hidden="0" customHeight="1">
      <x:c r="A2" s="2"/>
      <x:c r="B2" s="2"/>
      <x:c r="C2" s="3" t="str">
        <x:v>Debt underwriting summary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15" hidden="0" customHeight="1">
      <x:c r="A4" s="2"/>
      <x:c r="B4" s="2"/>
      <x:c r="C4" s="2" t="str">
        <x:v>Case Selected:</x:v>
      </x:c>
      <x:c r="D4" s="48" t="str">
        <x:f>Assumptions!D4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15" hidden="0" customHeight="1">
      <x:c r="A6" s="2"/>
      <x:c r="B6" s="2"/>
      <x:c r="C6" s="12" t="str">
        <x:v>Valuation and loan sizing</x:v>
      </x:c>
      <x:c r="D6" s="13"/>
      <x:c r="E6" s="13"/>
      <x:c r="F6" s="14"/>
      <x:c r="G6" s="2"/>
      <x:c r="H6" s="2"/>
      <x:c r="I6" s="2"/>
      <x:c r="J6" s="2"/>
      <x:c r="K6" s="2"/>
      <x:c r="L6" s="2"/>
      <x:c r="M6" s="2"/>
    </x:row>
    <x:row r="7" ht="15" hidden="0" customHeight="1">
      <x:c r="A7" s="2"/>
      <x:c r="B7" s="2"/>
      <x:c r="C7" s="2" t="str">
        <x:v>Year 1 net operating income</x:v>
      </x:c>
      <x:c r="D7" s="39" t="n">
        <x:f>'Operating Forecast'!D15</x:f>
        <x:v>3288000</x:v>
      </x:c>
      <x:c r="E7" s="2"/>
      <x:c r="F7" s="2"/>
      <x:c r="G7" s="36" t="str">
        <x:v>Capacity</x:v>
      </x:c>
      <x:c r="H7" s="36" t="str">
        <x:v>Amount</x:v>
      </x:c>
      <x:c r="I7" s="2"/>
      <x:c r="J7" s="2"/>
      <x:c r="K7" s="2"/>
      <x:c r="L7" s="2"/>
      <x:c r="M7" s="2"/>
    </x:row>
    <x:row r="8" ht="15" hidden="0" customHeight="1">
      <x:c r="A8" s="2"/>
      <x:c r="B8" s="2"/>
      <x:c r="C8" s="2" t="str">
        <x:v>Income-approach value</x:v>
      </x:c>
      <x:c r="D8" s="39" t="n">
        <x:f>'Operating Forecast'!D16</x:f>
        <x:v>57182608.69565217</x:v>
      </x:c>
      <x:c r="E8" s="2"/>
      <x:c r="F8" s="2"/>
      <x:c r="G8" s="2" t="str">
        <x:v>Requested</x:v>
      </x:c>
      <x:c r="H8" s="57" t="n">
        <x:f>D11</x:f>
        <x:v>36000000</x:v>
      </x:c>
      <x:c r="I8" s="2"/>
      <x:c r="J8" s="2"/>
      <x:c r="K8" s="2"/>
      <x:c r="L8" s="2"/>
      <x:c r="M8" s="2"/>
    </x:row>
    <x:row r="9" ht="15" hidden="0" customHeight="1">
      <x:c r="A9" s="2"/>
      <x:c r="B9" s="2"/>
      <x:c r="C9" s="2" t="str">
        <x:v>Comparable-sales value</x:v>
      </x:c>
      <x:c r="D9" s="39" t="n">
        <x:f>'Comparable Sales'!J13</x:f>
        <x:v>56922248.64864864</x:v>
      </x:c>
      <x:c r="E9" s="2"/>
      <x:c r="F9" s="2"/>
      <x:c r="G9" s="2" t="str">
        <x:v>LTV</x:v>
      </x:c>
      <x:c r="H9" s="57" t="n">
        <x:f>D12</x:f>
        <x:v>36999461.621621616</x:v>
      </x:c>
      <x:c r="I9" s="2"/>
      <x:c r="J9" s="2"/>
      <x:c r="K9" s="2"/>
      <x:c r="L9" s="2"/>
      <x:c r="M9" s="2"/>
    </x:row>
    <x:row r="10" ht="15" hidden="0" customHeight="1">
      <x:c r="A10" s="2"/>
      <x:c r="B10" s="2"/>
      <x:c r="C10" s="2" t="str">
        <x:v>Underwritten value</x:v>
      </x:c>
      <x:c r="D10" s="39" t="n">
        <x:f>MIN(D8,D9)</x:f>
        <x:v>56922248.64864864</x:v>
      </x:c>
      <x:c r="E10" s="2"/>
      <x:c r="F10" s="2"/>
      <x:c r="G10" s="2" t="str">
        <x:v>DSCR</x:v>
      </x:c>
      <x:c r="H10" s="57" t="n">
        <x:f>D13</x:f>
        <x:v>33502954.34247191</x:v>
      </x:c>
      <x:c r="I10" s="2"/>
      <x:c r="J10" s="2"/>
      <x:c r="K10" s="2"/>
      <x:c r="L10" s="2"/>
      <x:c r="M10" s="2"/>
    </x:row>
    <x:row r="11" ht="15" hidden="0" customHeight="1">
      <x:c r="A11" s="2"/>
      <x:c r="B11" s="2"/>
      <x:c r="C11" s="2" t="str">
        <x:v>Requested loan</x:v>
      </x:c>
      <x:c r="D11" s="39" t="n">
        <x:f>Assumptions!D22</x:f>
        <x:v>36000000</x:v>
      </x:c>
      <x:c r="E11" s="2"/>
      <x:c r="F11" s="2"/>
      <x:c r="G11" s="2" t="str">
        <x:v>Debt yield</x:v>
      </x:c>
      <x:c r="H11" s="57" t="n">
        <x:f>D14</x:f>
        <x:v>41100000</x:v>
      </x:c>
      <x:c r="I11" s="2"/>
      <x:c r="J11" s="2"/>
      <x:c r="K11" s="2"/>
      <x:c r="L11" s="2"/>
      <x:c r="M11" s="2"/>
    </x:row>
    <x:row r="12" ht="15" hidden="0" customHeight="1">
      <x:c r="A12" s="2"/>
      <x:c r="B12" s="2"/>
      <x:c r="C12" s="2" t="str">
        <x:v>LTV capacity</x:v>
      </x:c>
      <x:c r="D12" s="39" t="n">
        <x:f>D10*Assumptions!D26</x:f>
        <x:v>36999461.621621616</x:v>
      </x:c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A13" s="2"/>
      <x:c r="B13" s="2"/>
      <x:c r="C13" s="2" t="str">
        <x:v>DSCR capacity</x:v>
      </x:c>
      <x:c r="D13" s="39" t="n">
        <x:f>D7/Assumptions!D27/(-PMT(Assumptions!D23/12,Assumptions!D24*12,1)*12)</x:f>
        <x:v>33502954.34247191</x:v>
      </x:c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A14" s="2"/>
      <x:c r="B14" s="2"/>
      <x:c r="C14" s="2" t="str">
        <x:v>Debt-yield capacity</x:v>
      </x:c>
      <x:c r="D14" s="39" t="n">
        <x:f>D7/Assumptions!D28</x:f>
        <x:v>41100000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A15" s="2"/>
      <x:c r="B15" s="2"/>
      <x:c r="C15" s="53" t="str">
        <x:v>Recommended loan</x:v>
      </x:c>
      <x:c r="D15" s="54" t="n">
        <x:f>ROUNDDOWN(MIN(D11,D12,D13,D14)/Assumptions!D29,0)*Assumptions!D29</x:f>
        <x:v>33500000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A16" s="2"/>
      <x:c r="B16" s="2"/>
      <x:c r="C16" s="2" t="str">
        <x:v>Loan-to-value</x:v>
      </x:c>
      <x:c r="D16" s="38" t="n">
        <x:f>D15/D10</x:f>
        <x:v>0.5885220769611199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A17" s="2"/>
      <x:c r="B17" s="2"/>
      <x:c r="C17" s="2" t="str">
        <x:v>Debt service coverage ratio</x:v>
      </x:c>
      <x:c r="D17" s="55" t="n">
        <x:f>D7/(-PMT(Assumptions!D23/12,Assumptions!D24*12,D15)*12)</x:f>
        <x:v>1.3001146461257758</x:v>
      </x:c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A18" s="2"/>
      <x:c r="B18" s="2"/>
      <x:c r="C18" s="2" t="str">
        <x:v>Debt yield</x:v>
      </x:c>
      <x:c r="D18" s="38" t="n">
        <x:f>D7/D15</x:f>
        <x:v>0.09814925373134328</x:v>
      </x:c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A20" s="2"/>
      <x:c r="B20" s="2"/>
      <x:c r="C20" s="12" t="str">
        <x:v>Credit conclusion</x:v>
      </x:c>
      <x:c r="D20" s="13"/>
      <x:c r="E20" s="13"/>
      <x:c r="F20" s="14"/>
      <x:c r="G20" s="2"/>
      <x:c r="H20" s="2"/>
      <x:c r="I20" s="2"/>
      <x:c r="J20" s="2"/>
      <x:c r="K20" s="2"/>
      <x:c r="L20" s="2"/>
      <x:c r="M20" s="2"/>
    </x:row>
    <x:row r="21" ht="15" hidden="0" customHeight="1">
      <x:c r="A21" s="2"/>
      <x:c r="B21" s="2"/>
      <x:c r="C21" s="2" t="str">
        <x:v>Recommendation</x:v>
      </x:c>
      <x:c r="D21" s="2" t="str">
        <x:f>IF(AND(D16&lt;=Assumptions!D26,D17&gt;=Assumptions!D27,D18&gt;=Assumptions!D28),"Proceed with conditions","Do not proceed")</x:f>
        <x:v>Proceed with conditions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15" hidden="0" customHeight="1">
      <x:c r="A22" s="2"/>
      <x:c r="B22" s="2"/>
      <x:c r="C22" s="2" t="str">
        <x:v>Binding constraint</x:v>
      </x:c>
      <x:c r="D22" s="2" t="str">
        <x:f>IF(MIN(D11:D14)=D11,"Requested amount",IF(MIN(D11:D14)=D12,"LTV",IF(MIN(D11:D14)=D13,"DSCR","Debt yield")))</x:f>
        <x:v>DSCR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44" hidden="0" customHeight="1">
      <x:c r="A23" s="2"/>
      <x:c r="B23" s="2"/>
      <x:c r="C23" s="2" t="str">
        <x:v>Primary condition</x:v>
      </x:c>
      <x:c r="D23" s="56" t="str">
        <x:v>Confirm leases, environmental status, borrower strength and property-level capital requirements before approval.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</x:sheetData>
  <x:conditionalFormatting sqref="D21:D21">
    <x:cfRule type="containsText" dxfId="0" priority="1" operator="containsText" text="Proceed"/>
    <x:cfRule type="containsText" dxfId="1" priority="2" operator="containsText" text="Do not"/>
  </x:conditionalFormatting>
  <x:pageMargins left="0.7" right="0.7" top="0.75" bottom="0.75" header="0.3" footer="0.3"/>
  <x:drawing xmlns:r="http://schemas.openxmlformats.org/officeDocument/2006/relationships" r:id="R01d912c015694fd2"/>
</x:worksheet>
</file>

<file path=xl/worksheets/sheet2.xml><?xml version="1.0" encoding="utf-8"?>
<x:worksheet xmlns:x="http://schemas.openxmlformats.org/spreadsheetml/2006/main">
  <x:sheetPr>
    <x:tabColor rgb="FF8EA9D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3" max="3" width="38" hidden="0" customWidth="1"/>
    <x:col min="4" max="4" width="23" hidden="0" customWidth="1"/>
    <x:col min="6" max="6" width="43" hidden="0" customWidth="1"/>
    <x:col min="1" max="1" width="3" hidden="0" customWidth="1"/>
    <x:col min="2" max="2" width="3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</x:row>
    <x:row r="2" ht="19.200000762939453" hidden="0" customHeight="1">
      <x:c r="A2" s="2"/>
      <x:c r="B2" s="2"/>
      <x:c r="C2" s="3" t="str">
        <x:v>DebtLens underwriting assumptions</x:v>
      </x:c>
      <x:c r="D2" s="2"/>
      <x:c r="E2" s="2"/>
      <x:c r="F2" s="2"/>
      <x:c r="G2" s="2"/>
      <x:c r="H2" s="2"/>
    </x:row>
    <x:row r="3" ht="15" hidden="0" customHeight="1">
      <x:c r="A3" s="2"/>
      <x:c r="B3" s="2"/>
      <x:c r="C3" s="4"/>
      <x:c r="D3" s="4"/>
      <x:c r="E3" s="4"/>
      <x:c r="F3" s="4"/>
      <x:c r="G3" s="2"/>
      <x:c r="H3" s="2"/>
    </x:row>
    <x:row r="4" ht="15" hidden="0" customHeight="1">
      <x:c r="A4" s="2"/>
      <x:c r="B4" s="2"/>
      <x:c r="C4" s="5" t="str">
        <x:v>Case</x:v>
      </x:c>
      <x:c r="D4" s="9" t="str">
        <x:v>Base</x:v>
      </x:c>
      <x:c r="E4" s="2"/>
      <x:c r="F4" s="2"/>
      <x:c r="G4" s="2"/>
      <x:c r="H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</x:row>
    <x:row r="6" ht="15" hidden="0" customHeight="1">
      <x:c r="A6" s="2"/>
      <x:c r="B6" s="2"/>
      <x:c r="C6" s="12" t="str">
        <x:v>Property assumptions</x:v>
      </x:c>
      <x:c r="D6" s="13"/>
      <x:c r="E6" s="13"/>
      <x:c r="F6" s="14"/>
      <x:c r="G6" s="2"/>
      <x:c r="H6" s="2"/>
    </x:row>
    <x:row r="7" ht="21.600000381469727" hidden="0" customHeight="1">
      <x:c r="A7" s="2"/>
      <x:c r="B7" s="2"/>
      <x:c r="C7" s="2" t="str">
        <x:v>Property</x:v>
      </x:c>
      <x:c r="D7" s="15" t="str">
        <x:v>Harbour Logistics Centre</x:v>
      </x:c>
      <x:c r="E7" s="2"/>
      <x:c r="F7" s="28" t="str">
        <x:v>All facts and transaction details are fictional and provided only for portfolio learning.</x:v>
      </x:c>
      <x:c r="G7" s="2"/>
      <x:c r="H7" s="2"/>
    </x:row>
    <x:row r="8" ht="15" hidden="0" customHeight="1">
      <x:c r="A8" s="2"/>
      <x:c r="B8" s="2"/>
      <x:c r="C8" s="2" t="str">
        <x:v>Market</x:v>
      </x:c>
      <x:c r="D8" s="15" t="str">
        <x:v>Metro Vancouver, BC</x:v>
      </x:c>
      <x:c r="E8" s="2"/>
      <x:c r="F8" s="2"/>
      <x:c r="G8" s="2"/>
      <x:c r="H8" s="2"/>
    </x:row>
    <x:row r="9" ht="15" hidden="0" customHeight="1">
      <x:c r="A9" s="2"/>
      <x:c r="B9" s="2"/>
      <x:c r="C9" s="2" t="str">
        <x:v>Property type</x:v>
      </x:c>
      <x:c r="D9" s="15" t="str">
        <x:v>Industrial logistics</x:v>
      </x:c>
      <x:c r="E9" s="2"/>
      <x:c r="F9" s="2"/>
      <x:c r="G9" s="2"/>
      <x:c r="H9" s="2"/>
    </x:row>
    <x:row r="10" ht="15" hidden="0" customHeight="1">
      <x:c r="A10" s="2"/>
      <x:c r="B10" s="2"/>
      <x:c r="C10" s="2" t="str">
        <x:v>Gross leasable area (sf)</x:v>
      </x:c>
      <x:c r="D10" s="19" t="n">
        <x:v>200000</x:v>
      </x:c>
      <x:c r="E10" s="2"/>
      <x:c r="F10" s="2"/>
      <x:c r="G10" s="2"/>
      <x:c r="H10" s="2"/>
    </x:row>
    <x:row r="11" ht="15" hidden="0" customHeight="1">
      <x:c r="A11" s="2"/>
      <x:c r="B11" s="2"/>
      <x:c r="C11" s="2" t="str">
        <x:v>Year 1 base rent ($/sf)</x:v>
      </x:c>
      <x:c r="D11" s="20" t="n">
        <x:v>24</x:v>
      </x:c>
      <x:c r="E11" s="2"/>
      <x:c r="F11" s="2"/>
      <x:c r="G11" s="2"/>
      <x:c r="H11" s="2"/>
    </x:row>
    <x:row r="12" ht="15" hidden="0" customHeight="1">
      <x:c r="A12" s="2"/>
      <x:c r="B12" s="2"/>
      <x:c r="C12" s="2" t="str">
        <x:v>Year 1 other income ($/sf)</x:v>
      </x:c>
      <x:c r="D12" s="20" t="n">
        <x:v>1.2</x:v>
      </x:c>
      <x:c r="E12" s="2"/>
      <x:c r="F12" s="2"/>
      <x:c r="G12" s="2"/>
      <x:c r="H12" s="2"/>
    </x:row>
    <x:row r="13" ht="15" hidden="0" customHeight="1">
      <x:c r="A13" s="2"/>
      <x:c r="B13" s="2"/>
      <x:c r="C13" s="2" t="str">
        <x:v>Year 1 vacancy</x:v>
      </x:c>
      <x:c r="D13" s="21" t="n">
        <x:v>0.05</x:v>
      </x:c>
      <x:c r="E13" s="2"/>
      <x:c r="F13" s="2"/>
      <x:c r="G13" s="2"/>
      <x:c r="H13" s="2"/>
    </x:row>
    <x:row r="14" ht="15" hidden="0" customHeight="1">
      <x:c r="A14" s="2"/>
      <x:c r="B14" s="2"/>
      <x:c r="C14" s="2" t="str">
        <x:v>Year 1 operating expense ($/sf)</x:v>
      </x:c>
      <x:c r="D14" s="20" t="n">
        <x:v>7.5</x:v>
      </x:c>
      <x:c r="E14" s="2"/>
      <x:c r="F14" s="2"/>
      <x:c r="G14" s="2"/>
      <x:c r="H14" s="2"/>
    </x:row>
    <x:row r="15" ht="15" hidden="0" customHeight="1">
      <x:c r="A15" s="2"/>
      <x:c r="B15" s="2"/>
      <x:c r="C15" s="2" t="str">
        <x:v>Annual rent growth</x:v>
      </x:c>
      <x:c r="D15" s="21" t="n">
        <x:v>0.03</x:v>
      </x:c>
      <x:c r="E15" s="2"/>
      <x:c r="F15" s="2"/>
      <x:c r="G15" s="2"/>
      <x:c r="H15" s="2"/>
    </x:row>
    <x:row r="16" ht="15" hidden="0" customHeight="1">
      <x:c r="A16" s="2"/>
      <x:c r="B16" s="2"/>
      <x:c r="C16" s="2" t="str">
        <x:v>Annual other-income growth</x:v>
      </x:c>
      <x:c r="D16" s="21" t="n">
        <x:v>0.02</x:v>
      </x:c>
      <x:c r="E16" s="2"/>
      <x:c r="F16" s="2"/>
      <x:c r="G16" s="2"/>
      <x:c r="H16" s="2"/>
    </x:row>
    <x:row r="17" ht="15" hidden="0" customHeight="1">
      <x:c r="A17" s="2"/>
      <x:c r="B17" s="2"/>
      <x:c r="C17" s="29" t="str">
        <x:v>Annual expense growth</x:v>
      </x:c>
      <x:c r="D17" s="30" t="n">
        <x:v>0.025</x:v>
      </x:c>
      <x:c r="E17" s="2"/>
      <x:c r="F17" s="2"/>
      <x:c r="G17" s="2"/>
      <x:c r="H17" s="2"/>
    </x:row>
    <x:row r="18" ht="15" hidden="0" customHeight="1">
      <x:c r="A18" s="2"/>
      <x:c r="B18" s="2"/>
      <x:c r="C18" s="2"/>
      <x:c r="D18" s="17"/>
      <x:c r="E18" s="2"/>
      <x:c r="F18" s="2"/>
      <x:c r="G18" s="2"/>
      <x:c r="H18" s="2"/>
    </x:row>
    <x:row r="19" ht="15" hidden="0" customHeight="1">
      <x:c r="A19" s="2"/>
      <x:c r="B19" s="2"/>
      <x:c r="C19" s="12" t="str">
        <x:v>Valuation and loan assumptions</x:v>
      </x:c>
      <x:c r="D19" s="18"/>
      <x:c r="E19" s="13"/>
      <x:c r="F19" s="14"/>
      <x:c r="G19" s="2"/>
      <x:c r="H19" s="2"/>
    </x:row>
    <x:row r="20" ht="15" hidden="0" customHeight="1">
      <x:c r="A20" s="2"/>
      <x:c r="B20" s="2"/>
      <x:c r="C20" s="2" t="str">
        <x:v>Underwriting capitalization rate</x:v>
      </x:c>
      <x:c r="D20" s="22" t="n">
        <x:v>0.0575</x:v>
      </x:c>
      <x:c r="E20" s="2"/>
      <x:c r="F20" s="2"/>
      <x:c r="G20" s="2"/>
      <x:c r="H20" s="2"/>
    </x:row>
    <x:row r="21" ht="15" hidden="0" customHeight="1">
      <x:c r="A21" s="2"/>
      <x:c r="B21" s="2"/>
      <x:c r="C21" s="2" t="str">
        <x:v>Exit capitalization rate</x:v>
      </x:c>
      <x:c r="D21" s="22" t="n">
        <x:v>0.06</x:v>
      </x:c>
      <x:c r="E21" s="2"/>
      <x:c r="F21" s="2"/>
      <x:c r="G21" s="2"/>
      <x:c r="H21" s="2"/>
    </x:row>
    <x:row r="22" ht="15" hidden="0" customHeight="1">
      <x:c r="A22" s="2"/>
      <x:c r="B22" s="2"/>
      <x:c r="C22" s="2" t="str">
        <x:v>Requested loan amount</x:v>
      </x:c>
      <x:c r="D22" s="23" t="n">
        <x:v>36000000</x:v>
      </x:c>
      <x:c r="E22" s="2"/>
      <x:c r="F22" s="2"/>
      <x:c r="G22" s="2"/>
      <x:c r="H22" s="2"/>
    </x:row>
    <x:row r="23" ht="15" hidden="0" customHeight="1">
      <x:c r="A23" s="2"/>
      <x:c r="B23" s="2"/>
      <x:c r="C23" s="2" t="str">
        <x:v>Interest rate</x:v>
      </x:c>
      <x:c r="D23" s="22" t="n">
        <x:v>0.0575</x:v>
      </x:c>
      <x:c r="E23" s="2"/>
      <x:c r="F23" s="2"/>
      <x:c r="G23" s="2"/>
      <x:c r="H23" s="2"/>
    </x:row>
    <x:row r="24" ht="15" hidden="0" customHeight="1">
      <x:c r="A24" s="2"/>
      <x:c r="B24" s="2"/>
      <x:c r="C24" s="2" t="str">
        <x:v>Amortization (years)</x:v>
      </x:c>
      <x:c r="D24" s="24" t="n">
        <x:v>25</x:v>
      </x:c>
      <x:c r="E24" s="2"/>
      <x:c r="F24" s="2"/>
      <x:c r="G24" s="2"/>
      <x:c r="H24" s="2"/>
    </x:row>
    <x:row r="25" ht="15" hidden="0" customHeight="1">
      <x:c r="A25" s="2"/>
      <x:c r="B25" s="2"/>
      <x:c r="C25" s="2" t="str">
        <x:v>Loan term (years)</x:v>
      </x:c>
      <x:c r="D25" s="24" t="n">
        <x:v>5</x:v>
      </x:c>
      <x:c r="E25" s="2"/>
      <x:c r="F25" s="2"/>
      <x:c r="G25" s="2"/>
      <x:c r="H25" s="2"/>
    </x:row>
    <x:row r="26" ht="15" hidden="0" customHeight="1">
      <x:c r="A26" s="2"/>
      <x:c r="B26" s="2"/>
      <x:c r="C26" s="2" t="str">
        <x:v>Maximum LTV</x:v>
      </x:c>
      <x:c r="D26" s="21" t="n">
        <x:v>0.65</x:v>
      </x:c>
      <x:c r="E26" s="2"/>
      <x:c r="F26" s="2"/>
      <x:c r="G26" s="2"/>
      <x:c r="H26" s="2"/>
    </x:row>
    <x:row r="27" ht="15" hidden="0" customHeight="1">
      <x:c r="A27" s="2"/>
      <x:c r="B27" s="2"/>
      <x:c r="C27" s="2" t="str">
        <x:v>Minimum DSCR</x:v>
      </x:c>
      <x:c r="D27" s="25" t="n">
        <x:v>1.3</x:v>
      </x:c>
      <x:c r="E27" s="2"/>
      <x:c r="F27" s="2"/>
      <x:c r="G27" s="2"/>
      <x:c r="H27" s="2"/>
    </x:row>
    <x:row r="28" ht="15" hidden="0" customHeight="1">
      <x:c r="A28" s="2"/>
      <x:c r="B28" s="2"/>
      <x:c r="C28" s="2" t="str">
        <x:v>Minimum debt yield</x:v>
      </x:c>
      <x:c r="D28" s="21" t="n">
        <x:v>0.08</x:v>
      </x:c>
      <x:c r="E28" s="2"/>
      <x:c r="F28" s="2"/>
      <x:c r="G28" s="2"/>
      <x:c r="H28" s="2"/>
    </x:row>
    <x:row r="29" ht="15" hidden="0" customHeight="1">
      <x:c r="A29" s="2"/>
      <x:c r="B29" s="2"/>
      <x:c r="C29" s="29" t="str">
        <x:v>Minimum loan increment</x:v>
      </x:c>
      <x:c r="D29" s="31" t="n">
        <x:v>100000</x:v>
      </x:c>
      <x:c r="E29" s="2"/>
      <x:c r="F29" s="2"/>
      <x:c r="G29" s="2"/>
      <x:c r="H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</x:row>
  </x:sheetData>
  <x:dataValidations count="1">
    <x:dataValidation type="list" sqref="D4">
      <x:formula1>"Base"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" max="1" width="3" hidden="0" customWidth="1"/>
    <x:col min="2" max="2" width="3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19.200000762939453" hidden="0" customHeight="1">
      <x:c r="A2" s="2"/>
      <x:c r="B2" s="2"/>
      <x:c r="C2" s="3" t="str">
        <x:v>Five-year property cash flow</x:v>
      </x:c>
      <x:c r="D2" s="2"/>
      <x:c r="E2" s="2"/>
      <x:c r="F2" s="2"/>
      <x:c r="G2" s="2"/>
      <x:c r="H2" s="2"/>
      <x:c r="I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15" hidden="0" customHeight="1">
      <x:c r="A4" s="2"/>
      <x:c r="B4" s="2"/>
      <x:c r="C4" s="2" t="str">
        <x:v>Case Selected:</x:v>
      </x:c>
      <x:c r="D4" s="48" t="str">
        <x:f>Assumptions!D4</x:f>
        <x:v>Base</x:v>
      </x:c>
      <x:c r="E4" s="2"/>
      <x:c r="F4" s="2"/>
      <x:c r="G4" s="2"/>
      <x:c r="H4" s="2"/>
      <x:c r="I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15" hidden="0" customHeight="1">
      <x:c r="A6" s="2"/>
      <x:c r="B6" s="2"/>
      <x:c r="C6" s="36" t="str">
        <x:v>Metric</x:v>
      </x:c>
      <x:c r="D6" s="36" t="str">
        <x:v>Year 1</x:v>
      </x:c>
      <x:c r="E6" s="36" t="str">
        <x:v>Year 2</x:v>
      </x:c>
      <x:c r="F6" s="36" t="str">
        <x:v>Year 3</x:v>
      </x:c>
      <x:c r="G6" s="36" t="str">
        <x:v>Year 4</x:v>
      </x:c>
      <x:c r="H6" s="36" t="str">
        <x:v>Year 5</x:v>
      </x:c>
      <x:c r="I6" s="2"/>
    </x:row>
    <x:row r="7" ht="15" hidden="0" customHeight="1">
      <x:c r="A7" s="2"/>
      <x:c r="B7" s="2"/>
      <x:c r="C7" s="2" t="str">
        <x:v>Base rent ($/sf)</x:v>
      </x:c>
      <x:c r="D7" s="37" t="n">
        <x:f>Assumptions!D11</x:f>
        <x:v>24</x:v>
      </x:c>
      <x:c r="E7" s="37" t="n">
        <x:f>D7*(1+Assumptions!$D$15)</x:f>
        <x:v>24.72</x:v>
      </x:c>
      <x:c r="F7" s="37" t="n">
        <x:f>E7*(1+Assumptions!$D$15)</x:f>
        <x:v>25.4616</x:v>
      </x:c>
      <x:c r="G7" s="37" t="n">
        <x:f>F7*(1+Assumptions!$D$15)</x:f>
        <x:v>26.225448</x:v>
      </x:c>
      <x:c r="H7" s="37" t="n">
        <x:f>G7*(1+Assumptions!$D$15)</x:f>
        <x:v>27.01221144</x:v>
      </x:c>
      <x:c r="I7" s="2"/>
    </x:row>
    <x:row r="8" ht="15" hidden="0" customHeight="1">
      <x:c r="A8" s="2"/>
      <x:c r="B8" s="2"/>
      <x:c r="C8" s="2" t="str">
        <x:v>Other income ($/sf)</x:v>
      </x:c>
      <x:c r="D8" s="37" t="n">
        <x:f>Assumptions!D12</x:f>
        <x:v>1.2</x:v>
      </x:c>
      <x:c r="E8" s="37" t="n">
        <x:f>D8*(1+Assumptions!$D$16)</x:f>
        <x:v>1.224</x:v>
      </x:c>
      <x:c r="F8" s="37" t="n">
        <x:f>E8*(1+Assumptions!$D$16)</x:f>
        <x:v>1.24848</x:v>
      </x:c>
      <x:c r="G8" s="37" t="n">
        <x:f>F8*(1+Assumptions!$D$16)</x:f>
        <x:v>1.2734496</x:v>
      </x:c>
      <x:c r="H8" s="37" t="n">
        <x:f>G8*(1+Assumptions!$D$16)</x:f>
        <x:v>1.298918592</x:v>
      </x:c>
      <x:c r="I8" s="2"/>
    </x:row>
    <x:row r="9" ht="15" hidden="0" customHeight="1">
      <x:c r="A9" s="2"/>
      <x:c r="B9" s="2"/>
      <x:c r="C9" s="2" t="str">
        <x:v>Vacancy</x:v>
      </x:c>
      <x:c r="D9" s="38" t="n">
        <x:f>Assumptions!D13</x:f>
        <x:v>0.05</x:v>
      </x:c>
      <x:c r="E9" s="38" t="n">
        <x:f>D9</x:f>
        <x:v>0.05</x:v>
      </x:c>
      <x:c r="F9" s="38" t="n">
        <x:f>E9</x:f>
        <x:v>0.05</x:v>
      </x:c>
      <x:c r="G9" s="38" t="n">
        <x:f>F9</x:f>
        <x:v>0.05</x:v>
      </x:c>
      <x:c r="H9" s="38" t="n">
        <x:f>G9</x:f>
        <x:v>0.05</x:v>
      </x:c>
      <x:c r="I9" s="2"/>
    </x:row>
    <x:row r="10" ht="15" hidden="0" customHeight="1">
      <x:c r="A10" s="2"/>
      <x:c r="B10" s="2"/>
      <x:c r="C10" s="2" t="str">
        <x:v>Gross potential income</x:v>
      </x:c>
      <x:c r="D10" s="39" t="n">
        <x:f>Assumptions!D10*(D7+D8)</x:f>
        <x:v>5040000</x:v>
      </x:c>
      <x:c r="E10" s="39" t="n">
        <x:f>Assumptions!$D$10*(E7+E8)</x:f>
        <x:v>5188800</x:v>
      </x:c>
      <x:c r="F10" s="39" t="n">
        <x:f>Assumptions!$D$10*(F7+F8)</x:f>
        <x:v>5342016</x:v>
      </x:c>
      <x:c r="G10" s="39" t="n">
        <x:f>Assumptions!$D$10*(G7+G8)</x:f>
        <x:v>5499779.52</x:v>
      </x:c>
      <x:c r="H10" s="39" t="n">
        <x:f>Assumptions!$D$10*(H7+H8)</x:f>
        <x:v>5662226.0064</x:v>
      </x:c>
      <x:c r="I10" s="2"/>
    </x:row>
    <x:row r="11" ht="15" hidden="0" customHeight="1">
      <x:c r="A11" s="2"/>
      <x:c r="B11" s="2"/>
      <x:c r="C11" s="2" t="str">
        <x:v>Vacancy loss</x:v>
      </x:c>
      <x:c r="D11" s="39" t="n">
        <x:f>-D10*D9</x:f>
        <x:v>-252000</x:v>
      </x:c>
      <x:c r="E11" s="39" t="n">
        <x:f>-E10*E9</x:f>
        <x:v>-259440</x:v>
      </x:c>
      <x:c r="F11" s="39" t="n">
        <x:f>-F10*F9</x:f>
        <x:v>-267100.8</x:v>
      </x:c>
      <x:c r="G11" s="39" t="n">
        <x:f>-G10*G9</x:f>
        <x:v>-274988.97599999997</x:v>
      </x:c>
      <x:c r="H11" s="39" t="n">
        <x:f>-H10*H9</x:f>
        <x:v>-283111.30032000004</x:v>
      </x:c>
      <x:c r="I11" s="2"/>
    </x:row>
    <x:row r="12" ht="15" hidden="0" customHeight="1">
      <x:c r="A12" s="2"/>
      <x:c r="B12" s="2"/>
      <x:c r="C12" s="2" t="str">
        <x:v>Effective gross income</x:v>
      </x:c>
      <x:c r="D12" s="39" t="n">
        <x:f>D10+D11</x:f>
        <x:v>4788000</x:v>
      </x:c>
      <x:c r="E12" s="39" t="n">
        <x:f>E10+E11</x:f>
        <x:v>4929360</x:v>
      </x:c>
      <x:c r="F12" s="39" t="n">
        <x:f>F10+F11</x:f>
        <x:v>5074915.2</x:v>
      </x:c>
      <x:c r="G12" s="39" t="n">
        <x:f>G10+G11</x:f>
        <x:v>5224790.544</x:v>
      </x:c>
      <x:c r="H12" s="39" t="n">
        <x:f>H10+H11</x:f>
        <x:v>5379114.70608</x:v>
      </x:c>
      <x:c r="I12" s="2"/>
    </x:row>
    <x:row r="13" ht="15" hidden="0" customHeight="1">
      <x:c r="A13" s="2"/>
      <x:c r="B13" s="2"/>
      <x:c r="C13" s="2" t="str">
        <x:v>Operating expense ($/sf)</x:v>
      </x:c>
      <x:c r="D13" s="39" t="n">
        <x:f>Assumptions!D14</x:f>
        <x:v>7.5</x:v>
      </x:c>
      <x:c r="E13" s="39" t="n">
        <x:f>D13*(1+Assumptions!$D$17)</x:f>
        <x:v>7.687499999999999</x:v>
      </x:c>
      <x:c r="F13" s="39" t="n">
        <x:f>E13*(1+Assumptions!$D$17)</x:f>
        <x:v>7.879687499999998</x:v>
      </x:c>
      <x:c r="G13" s="39" t="n">
        <x:f>F13*(1+Assumptions!$D$17)</x:f>
        <x:v>8.076679687499997</x:v>
      </x:c>
      <x:c r="H13" s="39" t="n">
        <x:f>G13*(1+Assumptions!$D$17)</x:f>
        <x:v>8.278596679687496</x:v>
      </x:c>
      <x:c r="I13" s="2"/>
    </x:row>
    <x:row r="14" ht="15" hidden="0" customHeight="1">
      <x:c r="A14" s="2"/>
      <x:c r="B14" s="2"/>
      <x:c r="C14" s="2" t="str">
        <x:v>Operating expenses</x:v>
      </x:c>
      <x:c r="D14" s="39" t="n">
        <x:f>-Assumptions!D10*D13</x:f>
        <x:v>-1500000</x:v>
      </x:c>
      <x:c r="E14" s="39" t="n">
        <x:f>-Assumptions!$D$10*E13</x:f>
        <x:v>-1537499.9999999998</x:v>
      </x:c>
      <x:c r="F14" s="39" t="n">
        <x:f>-Assumptions!$D$10*F13</x:f>
        <x:v>-1575937.4999999998</x:v>
      </x:c>
      <x:c r="G14" s="39" t="n">
        <x:f>-Assumptions!$D$10*G13</x:f>
        <x:v>-1615335.9374999993</x:v>
      </x:c>
      <x:c r="H14" s="39" t="n">
        <x:f>-Assumptions!$D$10*H13</x:f>
        <x:v>-1655719.335937499</x:v>
      </x:c>
      <x:c r="I14" s="2"/>
    </x:row>
    <x:row r="15" ht="15" hidden="0" customHeight="1">
      <x:c r="A15" s="2"/>
      <x:c r="B15" s="2"/>
      <x:c r="C15" s="53" t="str">
        <x:v>Net operating income</x:v>
      </x:c>
      <x:c r="D15" s="54" t="n">
        <x:f>D12+D14</x:f>
        <x:v>3288000</x:v>
      </x:c>
      <x:c r="E15" s="54" t="n">
        <x:f>E12+E14</x:f>
        <x:v>3391860</x:v>
      </x:c>
      <x:c r="F15" s="54" t="n">
        <x:f>F12+F14</x:f>
        <x:v>3498977.7</x:v>
      </x:c>
      <x:c r="G15" s="54" t="n">
        <x:f>G12+G14</x:f>
        <x:v>3609454.6065000007</x:v>
      </x:c>
      <x:c r="H15" s="54" t="n">
        <x:f>H12+H14</x:f>
        <x:v>3723395.370142501</x:v>
      </x:c>
      <x:c r="I15" s="2"/>
    </x:row>
    <x:row r="16" ht="15" hidden="0" customHeight="1">
      <x:c r="A16" s="2"/>
      <x:c r="B16" s="2"/>
      <x:c r="C16" s="2" t="str">
        <x:v>Income value</x:v>
      </x:c>
      <x:c r="D16" s="39" t="n">
        <x:f>D15/Assumptions!D20</x:f>
        <x:v>57182608.69565217</x:v>
      </x:c>
      <x:c r="E16" s="39" t="n">
        <x:f>E15/Assumptions!$D$20</x:f>
        <x:v>58988869.56521739</x:v>
      </x:c>
      <x:c r="F16" s="39" t="n">
        <x:f>F15/Assumptions!$D$20</x:f>
        <x:v>60851786.08695652</x:v>
      </x:c>
      <x:c r="G16" s="39" t="n">
        <x:f>G15/Assumptions!$D$20</x:f>
        <x:v>62773123.591304354</x:v>
      </x:c>
      <x:c r="H16" s="39" t="n">
        <x:f>H15/Assumptions!$D$20</x:f>
        <x:v>64754702.089434795</x:v>
      </x:c>
      <x:c r="I16" s="2"/>
    </x:row>
    <x:row r="17" ht="15" hidden="0" customHeight="1">
      <x:c r="A17" s="2"/>
      <x:c r="B17" s="2"/>
      <x:c r="C17" s="2" t="str">
        <x:v>Exit value</x:v>
      </x:c>
      <x:c r="D17" s="39" t="n">
        <x:f>0</x:f>
        <x:v>0</x:v>
      </x:c>
      <x:c r="E17" s="39" t="n">
        <x:v>0</x:v>
      </x:c>
      <x:c r="F17" s="39" t="n">
        <x:v>0</x:v>
      </x:c>
      <x:c r="G17" s="39" t="n">
        <x:v>0</x:v>
      </x:c>
      <x:c r="H17" s="39" t="n">
        <x:f>H15/Assumptions!D21</x:f>
        <x:v>62056589.502375014</x:v>
      </x:c>
      <x:c r="I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1" max="1" width="3" hidden="0" customWidth="1"/>
    <x:col min="2" max="2" width="3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19.200000762939453" hidden="0" customHeight="1">
      <x:c r="A2" s="2"/>
      <x:c r="B2" s="2"/>
      <x:c r="C2" s="3" t="str">
        <x:v>Five-year loan amortization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</x:row>
    <x:row r="4" ht="15" hidden="0" customHeight="1">
      <x:c r="A4" s="2"/>
      <x:c r="B4" s="2"/>
      <x:c r="C4" s="2" t="str">
        <x:v>Recommended loan</x:v>
      </x:c>
      <x:c r="D4" s="39" t="n">
        <x:f>Summary!D15</x:f>
        <x:v>33500000</x:v>
      </x:c>
      <x:c r="E4" s="39" t="str">
        <x:v>Monthly payment</x:v>
      </x:c>
      <x:c r="F4" s="39" t="n">
        <x:f>-PMT(Assumptions!D23/12,Assumptions!D24*12,Summary!D15)</x:f>
        <x:v>210750.64481159046</x:v>
      </x:c>
      <x:c r="G4" s="2"/>
      <x:c r="H4" s="2"/>
      <x:c r="I4" s="2"/>
      <x:c r="J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15" hidden="0" customHeight="1">
      <x:c r="A6" s="2"/>
      <x:c r="B6" s="2"/>
      <x:c r="C6" s="36" t="str">
        <x:v>Month</x:v>
      </x:c>
      <x:c r="D6" s="36" t="str">
        <x:v>Beginning balance</x:v>
      </x:c>
      <x:c r="E6" s="36" t="str">
        <x:v>Payment</x:v>
      </x:c>
      <x:c r="F6" s="36" t="str">
        <x:v>Interest</x:v>
      </x:c>
      <x:c r="G6" s="36" t="str">
        <x:v>Principal</x:v>
      </x:c>
      <x:c r="H6" s="36" t="str">
        <x:v>Ending balance</x:v>
      </x:c>
      <x:c r="I6" s="2"/>
      <x:c r="J6" s="2"/>
    </x:row>
    <x:row r="7" ht="15" hidden="0" customHeight="1">
      <x:c r="A7" s="2"/>
      <x:c r="B7" s="2"/>
      <x:c r="C7" s="2" t="n">
        <x:v>1</x:v>
      </x:c>
      <x:c r="D7" s="39" t="n">
        <x:f>Summary!D15</x:f>
        <x:v>33500000</x:v>
      </x:c>
      <x:c r="E7" s="39" t="n">
        <x:f>$F$4</x:f>
        <x:v>210750.64481159046</x:v>
      </x:c>
      <x:c r="F7" s="39" t="n">
        <x:f>D7*Assumptions!$D$23/12</x:f>
        <x:v>160520.83333333334</x:v>
      </x:c>
      <x:c r="G7" s="39" t="n">
        <x:f>E7-F7</x:f>
        <x:v>50229.81147825712</x:v>
      </x:c>
      <x:c r="H7" s="39" t="n">
        <x:f>D7-G7</x:f>
        <x:v>33449770.188521743</x:v>
      </x:c>
      <x:c r="I7" s="2"/>
      <x:c r="J7" s="2"/>
    </x:row>
    <x:row r="8" ht="15" hidden="0" customHeight="1">
      <x:c r="A8" s="2"/>
      <x:c r="B8" s="2"/>
      <x:c r="C8" s="2" t="n">
        <x:v>2</x:v>
      </x:c>
      <x:c r="D8" s="39" t="n">
        <x:f>H7</x:f>
        <x:v>33449770.188521743</x:v>
      </x:c>
      <x:c r="E8" s="39" t="n">
        <x:f>$F$4</x:f>
        <x:v>210750.64481159046</x:v>
      </x:c>
      <x:c r="F8" s="39" t="n">
        <x:f>D8*Assumptions!$D$23/12</x:f>
        <x:v>160280.14882000003</x:v>
      </x:c>
      <x:c r="G8" s="39" t="n">
        <x:f>E8-F8</x:f>
        <x:v>50470.49599159043</x:v>
      </x:c>
      <x:c r="H8" s="39" t="n">
        <x:f>D8-G8</x:f>
        <x:v>33399299.69253015</x:v>
      </x:c>
      <x:c r="I8" s="2"/>
      <x:c r="J8" s="2"/>
    </x:row>
    <x:row r="9" ht="15" hidden="0" customHeight="1">
      <x:c r="A9" s="2"/>
      <x:c r="B9" s="2"/>
      <x:c r="C9" s="2" t="n">
        <x:v>3</x:v>
      </x:c>
      <x:c r="D9" s="39" t="n">
        <x:f>H8</x:f>
        <x:v>33399299.69253015</x:v>
      </x:c>
      <x:c r="E9" s="39" t="n">
        <x:f>$F$4</x:f>
        <x:v>210750.64481159046</x:v>
      </x:c>
      <x:c r="F9" s="39" t="n">
        <x:f>D9*Assumptions!$D$23/12</x:f>
        <x:v>160038.31102670697</x:v>
      </x:c>
      <x:c r="G9" s="39" t="n">
        <x:f>E9-F9</x:f>
        <x:v>50712.33378488349</x:v>
      </x:c>
      <x:c r="H9" s="39" t="n">
        <x:f>D9-G9</x:f>
        <x:v>33348587.35874527</x:v>
      </x:c>
      <x:c r="I9" s="2"/>
      <x:c r="J9" s="2"/>
    </x:row>
    <x:row r="10" ht="15" hidden="0" customHeight="1">
      <x:c r="A10" s="2"/>
      <x:c r="B10" s="2"/>
      <x:c r="C10" s="2" t="n">
        <x:v>4</x:v>
      </x:c>
      <x:c r="D10" s="39" t="n">
        <x:f>H9</x:f>
        <x:v>33348587.35874527</x:v>
      </x:c>
      <x:c r="E10" s="39" t="n">
        <x:f>$F$4</x:f>
        <x:v>210750.64481159046</x:v>
      </x:c>
      <x:c r="F10" s="39" t="n">
        <x:f>D10*Assumptions!$D$23/12</x:f>
        <x:v>159795.3144273211</x:v>
      </x:c>
      <x:c r="G10" s="39" t="n">
        <x:f>E10-F10</x:f>
        <x:v>50955.33038426936</x:v>
      </x:c>
      <x:c r="H10" s="39" t="n">
        <x:f>D10-G10</x:f>
        <x:v>33297632.028361</x:v>
      </x:c>
      <x:c r="I10" s="2"/>
      <x:c r="J10" s="2"/>
    </x:row>
    <x:row r="11" ht="15" hidden="0" customHeight="1">
      <x:c r="A11" s="2"/>
      <x:c r="B11" s="2"/>
      <x:c r="C11" s="2" t="n">
        <x:v>5</x:v>
      </x:c>
      <x:c r="D11" s="39" t="n">
        <x:f>H10</x:f>
        <x:v>33297632.028361</x:v>
      </x:c>
      <x:c r="E11" s="39" t="n">
        <x:f>$F$4</x:f>
        <x:v>210750.64481159046</x:v>
      </x:c>
      <x:c r="F11" s="39" t="n">
        <x:f>D11*Assumptions!$D$23/12</x:f>
        <x:v>159551.1534692298</x:v>
      </x:c>
      <x:c r="G11" s="39" t="n">
        <x:f>E11-F11</x:f>
        <x:v>51199.49134236068</x:v>
      </x:c>
      <x:c r="H11" s="39" t="n">
        <x:f>D11-G11</x:f>
        <x:v>33246432.537018638</x:v>
      </x:c>
      <x:c r="I11" s="2"/>
      <x:c r="J11" s="2"/>
    </x:row>
    <x:row r="12" ht="15" hidden="0" customHeight="1">
      <x:c r="A12" s="2"/>
      <x:c r="B12" s="2"/>
      <x:c r="C12" s="2" t="n">
        <x:v>6</x:v>
      </x:c>
      <x:c r="D12" s="39" t="n">
        <x:f>H11</x:f>
        <x:v>33246432.537018638</x:v>
      </x:c>
      <x:c r="E12" s="39" t="n">
        <x:f>$F$4</x:f>
        <x:v>210750.64481159046</x:v>
      </x:c>
      <x:c r="F12" s="39" t="n">
        <x:f>D12*Assumptions!$D$23/12</x:f>
        <x:v>159305.82257321433</x:v>
      </x:c>
      <x:c r="G12" s="39" t="n">
        <x:f>E12-F12</x:f>
        <x:v>51444.82223837613</x:v>
      </x:c>
      <x:c r="H12" s="39" t="n">
        <x:f>D12-G12</x:f>
        <x:v>33194987.714780264</x:v>
      </x:c>
      <x:c r="I12" s="2"/>
      <x:c r="J12" s="2"/>
    </x:row>
    <x:row r="13" ht="15" hidden="0" customHeight="1">
      <x:c r="A13" s="2"/>
      <x:c r="B13" s="2"/>
      <x:c r="C13" s="2" t="n">
        <x:v>7</x:v>
      </x:c>
      <x:c r="D13" s="39" t="n">
        <x:f>H12</x:f>
        <x:v>33194987.714780264</x:v>
      </x:c>
      <x:c r="E13" s="39" t="n">
        <x:f>$F$4</x:f>
        <x:v>210750.64481159046</x:v>
      </x:c>
      <x:c r="F13" s="39" t="n">
        <x:f>D13*Assumptions!$D$23/12</x:f>
        <x:v>159059.3161333221</x:v>
      </x:c>
      <x:c r="G13" s="39" t="n">
        <x:f>E13-F13</x:f>
        <x:v>51691.32867826836</x:v>
      </x:c>
      <x:c r="H13" s="39" t="n">
        <x:f>D13-G13</x:f>
        <x:v>33143296.386101995</x:v>
      </x:c>
      <x:c r="I13" s="2"/>
      <x:c r="J13" s="2"/>
    </x:row>
    <x:row r="14" ht="15" hidden="0" customHeight="1">
      <x:c r="A14" s="2"/>
      <x:c r="B14" s="2"/>
      <x:c r="C14" s="2" t="n">
        <x:v>8</x:v>
      </x:c>
      <x:c r="D14" s="39" t="n">
        <x:f>H13</x:f>
        <x:v>33143296.386101995</x:v>
      </x:c>
      <x:c r="E14" s="39" t="n">
        <x:f>$F$4</x:f>
        <x:v>210750.64481159046</x:v>
      </x:c>
      <x:c r="F14" s="39" t="n">
        <x:f>D14*Assumptions!$D$23/12</x:f>
        <x:v>158811.62851673874</x:v>
      </x:c>
      <x:c r="G14" s="39" t="n">
        <x:f>E14-F14</x:f>
        <x:v>51939.016294851725</x:v>
      </x:c>
      <x:c r="H14" s="39" t="n">
        <x:f>D14-G14</x:f>
        <x:v>33091357.369807143</x:v>
      </x:c>
      <x:c r="I14" s="2"/>
      <x:c r="J14" s="2"/>
    </x:row>
    <x:row r="15" ht="15" hidden="0" customHeight="1">
      <x:c r="A15" s="2"/>
      <x:c r="B15" s="2"/>
      <x:c r="C15" s="2" t="n">
        <x:v>9</x:v>
      </x:c>
      <x:c r="D15" s="39" t="n">
        <x:f>H14</x:f>
        <x:v>33091357.369807143</x:v>
      </x:c>
      <x:c r="E15" s="39" t="n">
        <x:f>$F$4</x:f>
        <x:v>210750.64481159046</x:v>
      </x:c>
      <x:c r="F15" s="39" t="n">
        <x:f>D15*Assumptions!$D$23/12</x:f>
        <x:v>158562.75406365923</x:v>
      </x:c>
      <x:c r="G15" s="39" t="n">
        <x:f>E15-F15</x:f>
        <x:v>52187.89074793123</x:v>
      </x:c>
      <x:c r="H15" s="39" t="n">
        <x:f>D15-G15</x:f>
        <x:v>33039169.479059212</x:v>
      </x:c>
      <x:c r="I15" s="2"/>
      <x:c r="J15" s="2"/>
    </x:row>
    <x:row r="16" ht="15" hidden="0" customHeight="1">
      <x:c r="A16" s="2"/>
      <x:c r="B16" s="2"/>
      <x:c r="C16" s="2" t="n">
        <x:v>10</x:v>
      </x:c>
      <x:c r="D16" s="39" t="n">
        <x:f>H15</x:f>
        <x:v>33039169.479059212</x:v>
      </x:c>
      <x:c r="E16" s="39" t="n">
        <x:f>$F$4</x:f>
        <x:v>210750.64481159046</x:v>
      </x:c>
      <x:c r="F16" s="39" t="n">
        <x:f>D16*Assumptions!$D$23/12</x:f>
        <x:v>158312.68708715873</x:v>
      </x:c>
      <x:c r="G16" s="39" t="n">
        <x:f>E16-F16</x:f>
        <x:v>52437.95772443173</x:v>
      </x:c>
      <x:c r="H16" s="39" t="n">
        <x:f>D16-G16</x:f>
        <x:v>32986731.52133478</x:v>
      </x:c>
      <x:c r="I16" s="2"/>
      <x:c r="J16" s="2"/>
    </x:row>
    <x:row r="17" ht="15" hidden="0" customHeight="1">
      <x:c r="A17" s="2"/>
      <x:c r="B17" s="2"/>
      <x:c r="C17" s="2" t="n">
        <x:v>11</x:v>
      </x:c>
      <x:c r="D17" s="39" t="n">
        <x:f>H16</x:f>
        <x:v>32986731.52133478</x:v>
      </x:c>
      <x:c r="E17" s="39" t="n">
        <x:f>$F$4</x:f>
        <x:v>210750.64481159046</x:v>
      </x:c>
      <x:c r="F17" s="39" t="n">
        <x:f>D17*Assumptions!$D$23/12</x:f>
        <x:v>158061.42187306247</x:v>
      </x:c>
      <x:c r="G17" s="39" t="n">
        <x:f>E17-F17</x:f>
        <x:v>52689.22293852799</x:v>
      </x:c>
      <x:c r="H17" s="39" t="n">
        <x:f>D17-G17</x:f>
        <x:v>32934042.298396252</x:v>
      </x:c>
      <x:c r="I17" s="2"/>
      <x:c r="J17" s="2"/>
    </x:row>
    <x:row r="18" ht="15" hidden="0" customHeight="1">
      <x:c r="A18" s="2"/>
      <x:c r="B18" s="2"/>
      <x:c r="C18" s="2" t="n">
        <x:v>12</x:v>
      </x:c>
      <x:c r="D18" s="39" t="n">
        <x:f>H17</x:f>
        <x:v>32934042.298396252</x:v>
      </x:c>
      <x:c r="E18" s="39" t="n">
        <x:f>$F$4</x:f>
        <x:v>210750.64481159046</x:v>
      </x:c>
      <x:c r="F18" s="39" t="n">
        <x:f>D18*Assumptions!$D$23/12</x:f>
        <x:v>157808.95267981538</x:v>
      </x:c>
      <x:c r="G18" s="39" t="n">
        <x:f>E18-F18</x:f>
        <x:v>52941.69213177508</x:v>
      </x:c>
      <x:c r="H18" s="39" t="n">
        <x:f>D18-G18</x:f>
        <x:v>32881100.606264476</x:v>
      </x:c>
      <x:c r="I18" s="2"/>
      <x:c r="J18" s="2"/>
    </x:row>
    <x:row r="19" ht="15" hidden="0" customHeight="1">
      <x:c r="A19" s="2"/>
      <x:c r="B19" s="2"/>
      <x:c r="C19" s="2" t="n">
        <x:v>13</x:v>
      </x:c>
      <x:c r="D19" s="39" t="n">
        <x:f>H18</x:f>
        <x:v>32881100.606264476</x:v>
      </x:c>
      <x:c r="E19" s="39" t="n">
        <x:f>$F$4</x:f>
        <x:v>210750.64481159046</x:v>
      </x:c>
      <x:c r="F19" s="39" t="n">
        <x:f>D19*Assumptions!$D$23/12</x:f>
        <x:v>157555.27373835063</x:v>
      </x:c>
      <x:c r="G19" s="39" t="n">
        <x:f>E19-F19</x:f>
        <x:v>53195.37107323983</x:v>
      </x:c>
      <x:c r="H19" s="39" t="n">
        <x:f>D19-G19</x:f>
        <x:v>32827905.235191237</x:v>
      </x:c>
      <x:c r="I19" s="2"/>
      <x:c r="J19" s="2"/>
    </x:row>
    <x:row r="20" ht="15" hidden="0" customHeight="1">
      <x:c r="A20" s="2"/>
      <x:c r="B20" s="2"/>
      <x:c r="C20" s="2" t="n">
        <x:v>14</x:v>
      </x:c>
      <x:c r="D20" s="39" t="n">
        <x:f>H19</x:f>
        <x:v>32827905.235191237</x:v>
      </x:c>
      <x:c r="E20" s="39" t="n">
        <x:f>$F$4</x:f>
        <x:v>210750.64481159046</x:v>
      </x:c>
      <x:c r="F20" s="39" t="n">
        <x:f>D20*Assumptions!$D$23/12</x:f>
        <x:v>157300.37925195802</x:v>
      </x:c>
      <x:c r="G20" s="39" t="n">
        <x:f>E20-F20</x:f>
        <x:v>53450.26555963245</x:v>
      </x:c>
      <x:c r="H20" s="39" t="n">
        <x:f>D20-G20</x:f>
        <x:v>32774454.969631605</x:v>
      </x:c>
      <x:c r="I20" s="2"/>
      <x:c r="J20" s="2"/>
    </x:row>
    <x:row r="21" ht="15" hidden="0" customHeight="1">
      <x:c r="A21" s="2"/>
      <x:c r="B21" s="2"/>
      <x:c r="C21" s="2" t="n">
        <x:v>15</x:v>
      </x:c>
      <x:c r="D21" s="39" t="n">
        <x:f>H20</x:f>
        <x:v>32774454.969631605</x:v>
      </x:c>
      <x:c r="E21" s="39" t="n">
        <x:f>$F$4</x:f>
        <x:v>210750.64481159046</x:v>
      </x:c>
      <x:c r="F21" s="39" t="n">
        <x:f>D21*Assumptions!$D$23/12</x:f>
        <x:v>157044.26339615145</x:v>
      </x:c>
      <x:c r="G21" s="39" t="n">
        <x:f>E21-F21</x:f>
        <x:v>53706.38141543901</x:v>
      </x:c>
      <x:c r="H21" s="39" t="n">
        <x:f>D21-G21</x:f>
        <x:v>32720748.588216167</x:v>
      </x:c>
      <x:c r="I21" s="2"/>
      <x:c r="J21" s="2"/>
    </x:row>
    <x:row r="22" ht="15" hidden="0" customHeight="1">
      <x:c r="A22" s="2"/>
      <x:c r="B22" s="2"/>
      <x:c r="C22" s="2" t="n">
        <x:v>16</x:v>
      </x:c>
      <x:c r="D22" s="39" t="n">
        <x:f>H21</x:f>
        <x:v>32720748.588216167</x:v>
      </x:c>
      <x:c r="E22" s="39" t="n">
        <x:f>$F$4</x:f>
        <x:v>210750.64481159046</x:v>
      </x:c>
      <x:c r="F22" s="39" t="n">
        <x:f>D22*Assumptions!$D$23/12</x:f>
        <x:v>156786.9203185358</x:v>
      </x:c>
      <x:c r="G22" s="39" t="n">
        <x:f>E22-F22</x:f>
        <x:v>53963.72449305467</x:v>
      </x:c>
      <x:c r="H22" s="39" t="n">
        <x:f>D22-G22</x:f>
        <x:v>32666784.863723114</x:v>
      </x:c>
      <x:c r="I22" s="2"/>
      <x:c r="J22" s="2"/>
    </x:row>
    <x:row r="23" ht="15" hidden="0" customHeight="1">
      <x:c r="A23" s="2"/>
      <x:c r="B23" s="2"/>
      <x:c r="C23" s="2" t="n">
        <x:v>17</x:v>
      </x:c>
      <x:c r="D23" s="39" t="n">
        <x:f>H22</x:f>
        <x:v>32666784.863723114</x:v>
      </x:c>
      <x:c r="E23" s="39" t="n">
        <x:f>$F$4</x:f>
        <x:v>210750.64481159046</x:v>
      </x:c>
      <x:c r="F23" s="39" t="n">
        <x:f>D23*Assumptions!$D$23/12</x:f>
        <x:v>156528.34413867324</x:v>
      </x:c>
      <x:c r="G23" s="39" t="n">
        <x:f>E23-F23</x:f>
        <x:v>54222.30067291722</x:v>
      </x:c>
      <x:c r="H23" s="39" t="n">
        <x:f>D23-G23</x:f>
        <x:v>32612562.563050196</x:v>
      </x:c>
      <x:c r="I23" s="2"/>
      <x:c r="J23" s="2"/>
    </x:row>
    <x:row r="24" ht="15" hidden="0" customHeight="1">
      <x:c r="A24" s="2"/>
      <x:c r="B24" s="2"/>
      <x:c r="C24" s="2" t="n">
        <x:v>18</x:v>
      </x:c>
      <x:c r="D24" s="39" t="n">
        <x:f>H23</x:f>
        <x:v>32612562.563050196</x:v>
      </x:c>
      <x:c r="E24" s="39" t="n">
        <x:f>$F$4</x:f>
        <x:v>210750.64481159046</x:v>
      </x:c>
      <x:c r="F24" s="39" t="n">
        <x:f>D24*Assumptions!$D$23/12</x:f>
        <x:v>156268.52894794886</x:v>
      </x:c>
      <x:c r="G24" s="39" t="n">
        <x:f>E24-F24</x:f>
        <x:v>54482.11586364161</x:v>
      </x:c>
      <x:c r="H24" s="39" t="n">
        <x:f>D24-G24</x:f>
        <x:v>32558080.447186556</x:v>
      </x:c>
      <x:c r="I24" s="2"/>
      <x:c r="J24" s="2"/>
    </x:row>
    <x:row r="25" ht="15" hidden="0" customHeight="1">
      <x:c r="A25" s="2"/>
      <x:c r="B25" s="2"/>
      <x:c r="C25" s="2" t="n">
        <x:v>19</x:v>
      </x:c>
      <x:c r="D25" s="39" t="n">
        <x:f>H24</x:f>
        <x:v>32558080.447186556</x:v>
      </x:c>
      <x:c r="E25" s="39" t="n">
        <x:f>$F$4</x:f>
        <x:v>210750.64481159046</x:v>
      </x:c>
      <x:c r="F25" s="39" t="n">
        <x:f>D25*Assumptions!$D$23/12</x:f>
        <x:v>156007.46880943558</x:v>
      </x:c>
      <x:c r="G25" s="39" t="n">
        <x:f>E25-F25</x:f>
        <x:v>54743.17600215488</x:v>
      </x:c>
      <x:c r="H25" s="39" t="n">
        <x:f>D25-G25</x:f>
        <x:v>32503337.2711844</x:v>
      </x:c>
      <x:c r="I25" s="2"/>
      <x:c r="J25" s="2"/>
    </x:row>
    <x:row r="26" ht="15" hidden="0" customHeight="1">
      <x:c r="A26" s="2"/>
      <x:c r="B26" s="2"/>
      <x:c r="C26" s="2" t="n">
        <x:v>20</x:v>
      </x:c>
      <x:c r="D26" s="39" t="n">
        <x:f>H25</x:f>
        <x:v>32503337.2711844</x:v>
      </x:c>
      <x:c r="E26" s="39" t="n">
        <x:f>$F$4</x:f>
        <x:v>210750.64481159046</x:v>
      </x:c>
      <x:c r="F26" s="39" t="n">
        <x:f>D26*Assumptions!$D$23/12</x:f>
        <x:v>155745.1577577586</x:v>
      </x:c>
      <x:c r="G26" s="39" t="n">
        <x:f>E26-F26</x:f>
        <x:v>55005.487053831865</x:v>
      </x:c>
      <x:c r="H26" s="39" t="n">
        <x:f>D26-G26</x:f>
        <x:v>32448331.78413057</x:v>
      </x:c>
      <x:c r="I26" s="2"/>
      <x:c r="J26" s="2"/>
    </x:row>
    <x:row r="27" ht="15" hidden="0" customHeight="1">
      <x:c r="A27" s="2"/>
      <x:c r="B27" s="2"/>
      <x:c r="C27" s="2" t="n">
        <x:v>21</x:v>
      </x:c>
      <x:c r="D27" s="39" t="n">
        <x:f>H26</x:f>
        <x:v>32448331.78413057</x:v>
      </x:c>
      <x:c r="E27" s="39" t="n">
        <x:f>$F$4</x:f>
        <x:v>210750.64481159046</x:v>
      </x:c>
      <x:c r="F27" s="39" t="n">
        <x:f>D27*Assumptions!$D$23/12</x:f>
        <x:v>155481.589798959</x:v>
      </x:c>
      <x:c r="G27" s="39" t="n">
        <x:f>E27-F27</x:f>
        <x:v>55269.05501263146</x:v>
      </x:c>
      <x:c r="H27" s="39" t="n">
        <x:f>D27-G27</x:f>
        <x:v>32393062.729117937</x:v>
      </x:c>
      <x:c r="I27" s="2"/>
      <x:c r="J27" s="2"/>
    </x:row>
    <x:row r="28" ht="15" hidden="0" customHeight="1">
      <x:c r="A28" s="2"/>
      <x:c r="B28" s="2"/>
      <x:c r="C28" s="2" t="n">
        <x:v>22</x:v>
      </x:c>
      <x:c r="D28" s="39" t="n">
        <x:f>H27</x:f>
        <x:v>32393062.729117937</x:v>
      </x:c>
      <x:c r="E28" s="39" t="n">
        <x:f>$F$4</x:f>
        <x:v>210750.64481159046</x:v>
      </x:c>
      <x:c r="F28" s="39" t="n">
        <x:f>D28*Assumptions!$D$23/12</x:f>
        <x:v>155216.7589103568</x:v>
      </x:c>
      <x:c r="G28" s="39" t="n">
        <x:f>E28-F28</x:f>
        <x:v>55533.885901233676</x:v>
      </x:c>
      <x:c r="H28" s="39" t="n">
        <x:f>D28-G28</x:f>
        <x:v>32337528.843216702</x:v>
      </x:c>
      <x:c r="I28" s="2"/>
      <x:c r="J28" s="2"/>
    </x:row>
    <x:row r="29" ht="15" hidden="0" customHeight="1">
      <x:c r="A29" s="2"/>
      <x:c r="B29" s="2"/>
      <x:c r="C29" s="2" t="n">
        <x:v>23</x:v>
      </x:c>
      <x:c r="D29" s="39" t="n">
        <x:f>H28</x:f>
        <x:v>32337528.843216702</x:v>
      </x:c>
      <x:c r="E29" s="39" t="n">
        <x:f>$F$4</x:f>
        <x:v>210750.64481159046</x:v>
      </x:c>
      <x:c r="F29" s="39" t="n">
        <x:f>D29*Assumptions!$D$23/12</x:f>
        <x:v>154950.65904041336</x:v>
      </x:c>
      <x:c r="G29" s="39" t="n">
        <x:f>E29-F29</x:f>
        <x:v>55799.985771177104</x:v>
      </x:c>
      <x:c r="H29" s="39" t="n">
        <x:f>D29-G29</x:f>
        <x:v>32281728.857445527</x:v>
      </x:c>
      <x:c r="I29" s="2"/>
      <x:c r="J29" s="2"/>
    </x:row>
    <x:row r="30" ht="15" hidden="0" customHeight="1">
      <x:c r="A30" s="2"/>
      <x:c r="B30" s="2"/>
      <x:c r="C30" s="2" t="n">
        <x:v>24</x:v>
      </x:c>
      <x:c r="D30" s="39" t="n">
        <x:f>H29</x:f>
        <x:v>32281728.857445527</x:v>
      </x:c>
      <x:c r="E30" s="39" t="n">
        <x:f>$F$4</x:f>
        <x:v>210750.64481159046</x:v>
      </x:c>
      <x:c r="F30" s="39" t="n">
        <x:f>D30*Assumptions!$D$23/12</x:f>
        <x:v>154683.28410859316</x:v>
      </x:c>
      <x:c r="G30" s="39" t="n">
        <x:f>E30-F30</x:f>
        <x:v>56067.360702997306</x:v>
      </x:c>
      <x:c r="H30" s="39" t="n">
        <x:f>D30-G30</x:f>
        <x:v>32225661.496742528</x:v>
      </x:c>
      <x:c r="I30" s="2"/>
      <x:c r="J30" s="2"/>
    </x:row>
    <x:row r="31" ht="15" hidden="0" customHeight="1">
      <x:c r="A31" s="2"/>
      <x:c r="B31" s="2"/>
      <x:c r="C31" s="2" t="n">
        <x:v>25</x:v>
      </x:c>
      <x:c r="D31" s="39" t="n">
        <x:f>H30</x:f>
        <x:v>32225661.496742528</x:v>
      </x:c>
      <x:c r="E31" s="39" t="n">
        <x:f>$F$4</x:f>
        <x:v>210750.64481159046</x:v>
      </x:c>
      <x:c r="F31" s="39" t="n">
        <x:f>D31*Assumptions!$D$23/12</x:f>
        <x:v>154414.62800522463</x:v>
      </x:c>
      <x:c r="G31" s="39" t="n">
        <x:f>E31-F31</x:f>
        <x:v>56336.016806365835</x:v>
      </x:c>
      <x:c r="H31" s="39" t="n">
        <x:f>D31-G31</x:f>
        <x:v>32169325.479936164</x:v>
      </x:c>
      <x:c r="I31" s="2"/>
      <x:c r="J31" s="2"/>
    </x:row>
    <x:row r="32" ht="15" hidden="0" customHeight="1">
      <x:c r="A32" s="2"/>
      <x:c r="B32" s="2"/>
      <x:c r="C32" s="2" t="n">
        <x:v>26</x:v>
      </x:c>
      <x:c r="D32" s="39" t="n">
        <x:f>H31</x:f>
        <x:v>32169325.479936164</x:v>
      </x:c>
      <x:c r="E32" s="39" t="n">
        <x:f>$F$4</x:f>
        <x:v>210750.64481159046</x:v>
      </x:c>
      <x:c r="F32" s="39" t="n">
        <x:f>D32*Assumptions!$D$23/12</x:f>
        <x:v>154144.6845913608</x:v>
      </x:c>
      <x:c r="G32" s="39" t="n">
        <x:f>E32-F32</x:f>
        <x:v>56605.96022022967</x:v>
      </x:c>
      <x:c r="H32" s="39" t="n">
        <x:f>D32-G32</x:f>
        <x:v>32112719.519715935</x:v>
      </x:c>
      <x:c r="I32" s="2"/>
      <x:c r="J32" s="2"/>
    </x:row>
    <x:row r="33" ht="15" hidden="0" customHeight="1">
      <x:c r="A33" s="2"/>
      <x:c r="B33" s="2"/>
      <x:c r="C33" s="2" t="n">
        <x:v>27</x:v>
      </x:c>
      <x:c r="D33" s="39" t="n">
        <x:f>H32</x:f>
        <x:v>32112719.519715935</x:v>
      </x:c>
      <x:c r="E33" s="39" t="n">
        <x:f>$F$4</x:f>
        <x:v>210750.64481159046</x:v>
      </x:c>
      <x:c r="F33" s="39" t="n">
        <x:f>D33*Assumptions!$D$23/12</x:f>
        <x:v>153873.44769863886</x:v>
      </x:c>
      <x:c r="G33" s="39" t="n">
        <x:f>E33-F33</x:f>
        <x:v>56877.1971129516</x:v>
      </x:c>
      <x:c r="H33" s="39" t="n">
        <x:f>D33-G33</x:f>
        <x:v>32055842.322602984</x:v>
      </x:c>
      <x:c r="I33" s="2"/>
      <x:c r="J33" s="2"/>
    </x:row>
    <x:row r="34" ht="15" hidden="0" customHeight="1">
      <x:c r="A34" s="2"/>
      <x:c r="B34" s="2"/>
      <x:c r="C34" s="2" t="n">
        <x:v>28</x:v>
      </x:c>
      <x:c r="D34" s="39" t="n">
        <x:f>H33</x:f>
        <x:v>32055842.322602984</x:v>
      </x:c>
      <x:c r="E34" s="39" t="n">
        <x:f>$F$4</x:f>
        <x:v>210750.64481159046</x:v>
      </x:c>
      <x:c r="F34" s="39" t="n">
        <x:f>D34*Assumptions!$D$23/12</x:f>
        <x:v>153600.9111291393</x:v>
      </x:c>
      <x:c r="G34" s="39" t="n">
        <x:f>E34-F34</x:f>
        <x:v>57149.73368245116</x:v>
      </x:c>
      <x:c r="H34" s="39" t="n">
        <x:f>D34-G34</x:f>
        <x:v>31998692.588920534</x:v>
      </x:c>
      <x:c r="I34" s="2"/>
      <x:c r="J34" s="2"/>
    </x:row>
    <x:row r="35" ht="15" hidden="0" customHeight="1">
      <x:c r="A35" s="2"/>
      <x:c r="B35" s="2"/>
      <x:c r="C35" s="2" t="n">
        <x:v>29</x:v>
      </x:c>
      <x:c r="D35" s="39" t="n">
        <x:f>H34</x:f>
        <x:v>31998692.588920534</x:v>
      </x:c>
      <x:c r="E35" s="39" t="n">
        <x:f>$F$4</x:f>
        <x:v>210750.64481159046</x:v>
      </x:c>
      <x:c r="F35" s="39" t="n">
        <x:f>D35*Assumptions!$D$23/12</x:f>
        <x:v>153327.06865524422</x:v>
      </x:c>
      <x:c r="G35" s="39" t="n">
        <x:f>E35-F35</x:f>
        <x:v>57423.576156346244</x:v>
      </x:c>
      <x:c r="H35" s="39" t="n">
        <x:f>D35-G35</x:f>
        <x:v>31941269.012764186</x:v>
      </x:c>
      <x:c r="I35" s="2"/>
      <x:c r="J35" s="2"/>
    </x:row>
    <x:row r="36" ht="15" hidden="0" customHeight="1">
      <x:c r="A36" s="2"/>
      <x:c r="B36" s="2"/>
      <x:c r="C36" s="2" t="n">
        <x:v>30</x:v>
      </x:c>
      <x:c r="D36" s="39" t="n">
        <x:f>H35</x:f>
        <x:v>31941269.012764186</x:v>
      </x:c>
      <x:c r="E36" s="39" t="n">
        <x:f>$F$4</x:f>
        <x:v>210750.64481159046</x:v>
      </x:c>
      <x:c r="F36" s="39" t="n">
        <x:f>D36*Assumptions!$D$23/12</x:f>
        <x:v>153051.91401949505</x:v>
      </x:c>
      <x:c r="G36" s="39" t="n">
        <x:f>E36-F36</x:f>
        <x:v>57698.73079209542</x:v>
      </x:c>
      <x:c r="H36" s="39" t="n">
        <x:f>D36-G36</x:f>
        <x:v>31883570.28197209</x:v>
      </x:c>
      <x:c r="I36" s="2"/>
      <x:c r="J36" s="2"/>
    </x:row>
    <x:row r="37" ht="15" hidden="0" customHeight="1">
      <x:c r="A37" s="2"/>
      <x:c r="B37" s="2"/>
      <x:c r="C37" s="2" t="n">
        <x:v>31</x:v>
      </x:c>
      <x:c r="D37" s="39" t="n">
        <x:f>H36</x:f>
        <x:v>31883570.28197209</x:v>
      </x:c>
      <x:c r="E37" s="39" t="n">
        <x:f>$F$4</x:f>
        <x:v>210750.64481159046</x:v>
      </x:c>
      <x:c r="F37" s="39" t="n">
        <x:f>D37*Assumptions!$D$23/12</x:f>
        <x:v>152775.4409344496</x:v>
      </x:c>
      <x:c r="G37" s="39" t="n">
        <x:f>E37-F37</x:f>
        <x:v>57975.203877140855</x:v>
      </x:c>
      <x:c r="H37" s="39" t="n">
        <x:f>D37-G37</x:f>
        <x:v>31825595.07809495</x:v>
      </x:c>
      <x:c r="I37" s="2"/>
      <x:c r="J37" s="2"/>
    </x:row>
    <x:row r="38" ht="15" hidden="0" customHeight="1">
      <x:c r="A38" s="2"/>
      <x:c r="B38" s="2"/>
      <x:c r="C38" s="2" t="n">
        <x:v>32</x:v>
      </x:c>
      <x:c r="D38" s="39" t="n">
        <x:f>H37</x:f>
        <x:v>31825595.07809495</x:v>
      </x:c>
      <x:c r="E38" s="39" t="n">
        <x:f>$F$4</x:f>
        <x:v>210750.64481159046</x:v>
      </x:c>
      <x:c r="F38" s="39" t="n">
        <x:f>D38*Assumptions!$D$23/12</x:f>
        <x:v>152497.6430825383</x:v>
      </x:c>
      <x:c r="G38" s="39" t="n">
        <x:f>E38-F38</x:f>
        <x:v>58253.001729052165</x:v>
      </x:c>
      <x:c r="H38" s="39" t="n">
        <x:f>D38-G38</x:f>
        <x:v>31767342.0763659</x:v>
      </x:c>
      <x:c r="I38" s="2"/>
      <x:c r="J38" s="2"/>
    </x:row>
    <x:row r="39" ht="15" hidden="0" customHeight="1">
      <x:c r="A39" s="2"/>
      <x:c r="B39" s="2"/>
      <x:c r="C39" s="2" t="n">
        <x:v>33</x:v>
      </x:c>
      <x:c r="D39" s="39" t="n">
        <x:f>H38</x:f>
        <x:v>31767342.0763659</x:v>
      </x:c>
      <x:c r="E39" s="39" t="n">
        <x:f>$F$4</x:f>
        <x:v>210750.64481159046</x:v>
      </x:c>
      <x:c r="F39" s="39" t="n">
        <x:f>D39*Assumptions!$D$23/12</x:f>
        <x:v>152218.51411591994</x:v>
      </x:c>
      <x:c r="G39" s="39" t="n">
        <x:f>E39-F39</x:f>
        <x:v>58532.13069567052</x:v>
      </x:c>
      <x:c r="H39" s="39" t="n">
        <x:f>D39-G39</x:f>
        <x:v>31708809.94567023</x:v>
      </x:c>
      <x:c r="I39" s="2"/>
      <x:c r="J39" s="2"/>
    </x:row>
    <x:row r="40" ht="15" hidden="0" customHeight="1">
      <x:c r="A40" s="2"/>
      <x:c r="B40" s="2"/>
      <x:c r="C40" s="2" t="n">
        <x:v>34</x:v>
      </x:c>
      <x:c r="D40" s="39" t="n">
        <x:f>H39</x:f>
        <x:v>31708809.94567023</x:v>
      </x:c>
      <x:c r="E40" s="39" t="n">
        <x:f>$F$4</x:f>
        <x:v>210750.64481159046</x:v>
      </x:c>
      <x:c r="F40" s="39" t="n">
        <x:f>D40*Assumptions!$D$23/12</x:f>
        <x:v>151938.04765633654</x:v>
      </x:c>
      <x:c r="G40" s="39" t="n">
        <x:f>E40-F40</x:f>
        <x:v>58812.59715525393</x:v>
      </x:c>
      <x:c r="H40" s="39" t="n">
        <x:f>D40-G40</x:f>
        <x:v>31649997.348514974</x:v>
      </x:c>
      <x:c r="I40" s="2"/>
      <x:c r="J40" s="2"/>
    </x:row>
    <x:row r="41" ht="15" hidden="0" customHeight="1">
      <x:c r="A41" s="2"/>
      <x:c r="B41" s="2"/>
      <x:c r="C41" s="2" t="n">
        <x:v>35</x:v>
      </x:c>
      <x:c r="D41" s="39" t="n">
        <x:f>H40</x:f>
        <x:v>31649997.348514974</x:v>
      </x:c>
      <x:c r="E41" s="39" t="n">
        <x:f>$F$4</x:f>
        <x:v>210750.64481159046</x:v>
      </x:c>
      <x:c r="F41" s="39" t="n">
        <x:f>D41*Assumptions!$D$23/12</x:f>
        <x:v>151656.2372949676</x:v>
      </x:c>
      <x:c r="G41" s="39" t="n">
        <x:f>E41-F41</x:f>
        <x:v>59094.40751662286</x:v>
      </x:c>
      <x:c r="H41" s="39" t="n">
        <x:f>D41-G41</x:f>
        <x:v>31590902.940998353</x:v>
      </x:c>
      <x:c r="I41" s="2"/>
      <x:c r="J41" s="2"/>
    </x:row>
    <x:row r="42" ht="15" hidden="0" customHeight="1">
      <x:c r="A42" s="2"/>
      <x:c r="B42" s="2"/>
      <x:c r="C42" s="2" t="n">
        <x:v>36</x:v>
      </x:c>
      <x:c r="D42" s="39" t="n">
        <x:f>H41</x:f>
        <x:v>31590902.940998353</x:v>
      </x:c>
      <x:c r="E42" s="39" t="n">
        <x:f>$F$4</x:f>
        <x:v>210750.64481159046</x:v>
      </x:c>
      <x:c r="F42" s="39" t="n">
        <x:f>D42*Assumptions!$D$23/12</x:f>
        <x:v>151373.0765922838</x:v>
      </x:c>
      <x:c r="G42" s="39" t="n">
        <x:f>E42-F42</x:f>
        <x:v>59377.568219306675</x:v>
      </x:c>
      <x:c r="H42" s="39" t="n">
        <x:f>D42-G42</x:f>
        <x:v>31531525.372779045</x:v>
      </x:c>
      <x:c r="I42" s="2"/>
      <x:c r="J42" s="2"/>
    </x:row>
    <x:row r="43" ht="15" hidden="0" customHeight="1">
      <x:c r="A43" s="2"/>
      <x:c r="B43" s="2"/>
      <x:c r="C43" s="2" t="n">
        <x:v>37</x:v>
      </x:c>
      <x:c r="D43" s="39" t="n">
        <x:f>H42</x:f>
        <x:v>31531525.372779045</x:v>
      </x:c>
      <x:c r="E43" s="39" t="n">
        <x:f>$F$4</x:f>
        <x:v>210750.64481159046</x:v>
      </x:c>
      <x:c r="F43" s="39" t="n">
        <x:f>D43*Assumptions!$D$23/12</x:f>
        <x:v>151088.55907789958</x:v>
      </x:c>
      <x:c r="G43" s="39" t="n">
        <x:f>E43-F43</x:f>
        <x:v>59662.08573369088</x:v>
      </x:c>
      <x:c r="H43" s="39" t="n">
        <x:f>D43-G43</x:f>
        <x:v>31471863.287045356</x:v>
      </x:c>
      <x:c r="I43" s="2"/>
      <x:c r="J43" s="2"/>
    </x:row>
    <x:row r="44" ht="15" hidden="0" customHeight="1">
      <x:c r="A44" s="2"/>
      <x:c r="B44" s="2"/>
      <x:c r="C44" s="2" t="n">
        <x:v>38</x:v>
      </x:c>
      <x:c r="D44" s="39" t="n">
        <x:f>H43</x:f>
        <x:v>31471863.287045356</x:v>
      </x:c>
      <x:c r="E44" s="39" t="n">
        <x:f>$F$4</x:f>
        <x:v>210750.64481159046</x:v>
      </x:c>
      <x:c r="F44" s="39" t="n">
        <x:f>D44*Assumptions!$D$23/12</x:f>
        <x:v>150802.67825042567</x:v>
      </x:c>
      <x:c r="G44" s="39" t="n">
        <x:f>E44-F44</x:f>
        <x:v>59947.966561164794</x:v>
      </x:c>
      <x:c r="H44" s="39" t="n">
        <x:f>D44-G44</x:f>
        <x:v>31411915.32048419</x:v>
      </x:c>
      <x:c r="I44" s="2"/>
      <x:c r="J44" s="2"/>
    </x:row>
    <x:row r="45" ht="15" hidden="0" customHeight="1">
      <x:c r="A45" s="2"/>
      <x:c r="B45" s="2"/>
      <x:c r="C45" s="2" t="n">
        <x:v>39</x:v>
      </x:c>
      <x:c r="D45" s="39" t="n">
        <x:f>H44</x:f>
        <x:v>31411915.32048419</x:v>
      </x:c>
      <x:c r="E45" s="39" t="n">
        <x:f>$F$4</x:f>
        <x:v>210750.64481159046</x:v>
      </x:c>
      <x:c r="F45" s="39" t="n">
        <x:f>D45*Assumptions!$D$23/12</x:f>
        <x:v>150515.4275773201</x:v>
      </x:c>
      <x:c r="G45" s="39" t="n">
        <x:f>E45-F45</x:f>
        <x:v>60235.217234270356</x:v>
      </x:c>
      <x:c r="H45" s="39" t="n">
        <x:f>D45-G45</x:f>
        <x:v>31351680.103249922</x:v>
      </x:c>
      <x:c r="I45" s="2"/>
      <x:c r="J45" s="2"/>
    </x:row>
    <x:row r="46" ht="15" hidden="0" customHeight="1">
      <x:c r="A46" s="2"/>
      <x:c r="B46" s="2"/>
      <x:c r="C46" s="2" t="n">
        <x:v>40</x:v>
      </x:c>
      <x:c r="D46" s="39" t="n">
        <x:f>H45</x:f>
        <x:v>31351680.103249922</x:v>
      </x:c>
      <x:c r="E46" s="39" t="n">
        <x:f>$F$4</x:f>
        <x:v>210750.64481159046</x:v>
      </x:c>
      <x:c r="F46" s="39" t="n">
        <x:f>D46*Assumptions!$D$23/12</x:f>
        <x:v>150226.80049473923</x:v>
      </x:c>
      <x:c r="G46" s="39" t="n">
        <x:f>E46-F46</x:f>
        <x:v>60523.84431685123</x:v>
      </x:c>
      <x:c r="H46" s="39" t="n">
        <x:f>D46-G46</x:f>
        <x:v>31291156.25893307</x:v>
      </x:c>
      <x:c r="I46" s="2"/>
      <x:c r="J46" s="2"/>
    </x:row>
    <x:row r="47" ht="15" hidden="0" customHeight="1">
      <x:c r="A47" s="2"/>
      <x:c r="B47" s="2"/>
      <x:c r="C47" s="2" t="n">
        <x:v>41</x:v>
      </x:c>
      <x:c r="D47" s="39" t="n">
        <x:f>H46</x:f>
        <x:v>31291156.25893307</x:v>
      </x:c>
      <x:c r="E47" s="39" t="n">
        <x:f>$F$4</x:f>
        <x:v>210750.64481159046</x:v>
      </x:c>
      <x:c r="F47" s="39" t="n">
        <x:f>D47*Assumptions!$D$23/12</x:f>
        <x:v>149936.79040738763</x:v>
      </x:c>
      <x:c r="G47" s="39" t="n">
        <x:f>E47-F47</x:f>
        <x:v>60813.85440420284</x:v>
      </x:c>
      <x:c r="H47" s="39" t="n">
        <x:f>D47-G47</x:f>
        <x:v>31230342.404528867</x:v>
      </x:c>
      <x:c r="I47" s="2"/>
      <x:c r="J47" s="2"/>
    </x:row>
    <x:row r="48" ht="15" hidden="0" customHeight="1">
      <x:c r="A48" s="2"/>
      <x:c r="B48" s="2"/>
      <x:c r="C48" s="2" t="n">
        <x:v>42</x:v>
      </x:c>
      <x:c r="D48" s="39" t="n">
        <x:f>H47</x:f>
        <x:v>31230342.404528867</x:v>
      </x:c>
      <x:c r="E48" s="39" t="n">
        <x:f>$F$4</x:f>
        <x:v>210750.64481159046</x:v>
      </x:c>
      <x:c r="F48" s="39" t="n">
        <x:f>D48*Assumptions!$D$23/12</x:f>
        <x:v>149645.3906883675</x:v>
      </x:c>
      <x:c r="G48" s="39" t="n">
        <x:f>E48-F48</x:f>
        <x:v>61105.254123222956</x:v>
      </x:c>
      <x:c r="H48" s="39" t="n">
        <x:f>D48-G48</x:f>
        <x:v>31169237.150405645</x:v>
      </x:c>
      <x:c r="I48" s="2"/>
      <x:c r="J48" s="2"/>
    </x:row>
    <x:row r="49" ht="15" hidden="0" customHeight="1">
      <x:c r="A49" s="2"/>
      <x:c r="B49" s="2"/>
      <x:c r="C49" s="2" t="n">
        <x:v>43</x:v>
      </x:c>
      <x:c r="D49" s="39" t="n">
        <x:f>H48</x:f>
        <x:v>31169237.150405645</x:v>
      </x:c>
      <x:c r="E49" s="39" t="n">
        <x:f>$F$4</x:f>
        <x:v>210750.64481159046</x:v>
      </x:c>
      <x:c r="F49" s="39" t="n">
        <x:f>D49*Assumptions!$D$23/12</x:f>
        <x:v>149352.59467902707</x:v>
      </x:c>
      <x:c r="G49" s="39" t="n">
        <x:f>E49-F49</x:f>
        <x:v>61398.050132563396</x:v>
      </x:c>
      <x:c r="H49" s="39" t="n">
        <x:f>D49-G49</x:f>
        <x:v>31107839.10027308</x:v>
      </x:c>
      <x:c r="I49" s="2"/>
      <x:c r="J49" s="2"/>
    </x:row>
    <x:row r="50" ht="15" hidden="0" customHeight="1">
      <x:c r="A50" s="2"/>
      <x:c r="B50" s="2"/>
      <x:c r="C50" s="2" t="n">
        <x:v>44</x:v>
      </x:c>
      <x:c r="D50" s="39" t="n">
        <x:f>H49</x:f>
        <x:v>31107839.10027308</x:v>
      </x:c>
      <x:c r="E50" s="39" t="n">
        <x:f>$F$4</x:f>
        <x:v>210750.64481159046</x:v>
      </x:c>
      <x:c r="F50" s="39" t="n">
        <x:f>D50*Assumptions!$D$23/12</x:f>
        <x:v>149058.39568880852</x:v>
      </x:c>
      <x:c r="G50" s="39" t="n">
        <x:f>E50-F50</x:f>
        <x:v>61692.24912278194</x:v>
      </x:c>
      <x:c r="H50" s="39" t="n">
        <x:f>D50-G50</x:f>
        <x:v>31046146.851150297</x:v>
      </x:c>
      <x:c r="I50" s="2"/>
      <x:c r="J50" s="2"/>
    </x:row>
    <x:row r="51" ht="15" hidden="0" customHeight="1">
      <x:c r="A51" s="2"/>
      <x:c r="B51" s="2"/>
      <x:c r="C51" s="2" t="n">
        <x:v>45</x:v>
      </x:c>
      <x:c r="D51" s="39" t="n">
        <x:f>H50</x:f>
        <x:v>31046146.851150297</x:v>
      </x:c>
      <x:c r="E51" s="39" t="n">
        <x:f>$F$4</x:f>
        <x:v>210750.64481159046</x:v>
      </x:c>
      <x:c r="F51" s="39" t="n">
        <x:f>D51*Assumptions!$D$23/12</x:f>
        <x:v>148762.78699509517</x:v>
      </x:c>
      <x:c r="G51" s="39" t="n">
        <x:f>E51-F51</x:f>
        <x:v>61987.85781649529</x:v>
      </x:c>
      <x:c r="H51" s="39" t="n">
        <x:f>D51-G51</x:f>
        <x:v>30984158.9933338</x:v>
      </x:c>
      <x:c r="I51" s="2"/>
      <x:c r="J51" s="2"/>
    </x:row>
    <x:row r="52" ht="15" hidden="0" customHeight="1">
      <x:c r="A52" s="2"/>
      <x:c r="B52" s="2"/>
      <x:c r="C52" s="2" t="n">
        <x:v>46</x:v>
      </x:c>
      <x:c r="D52" s="39" t="n">
        <x:f>H51</x:f>
        <x:v>30984158.9933338</x:v>
      </x:c>
      <x:c r="E52" s="39" t="n">
        <x:f>$F$4</x:f>
        <x:v>210750.64481159046</x:v>
      </x:c>
      <x:c r="F52" s="39" t="n">
        <x:f>D52*Assumptions!$D$23/12</x:f>
        <x:v>148465.76184305781</x:v>
      </x:c>
      <x:c r="G52" s="39" t="n">
        <x:f>E52-F52</x:f>
        <x:v>62284.88296853265</x:v>
      </x:c>
      <x:c r="H52" s="39" t="n">
        <x:f>D52-G52</x:f>
        <x:v>30921874.110365268</x:v>
      </x:c>
      <x:c r="I52" s="2"/>
      <x:c r="J52" s="2"/>
    </x:row>
    <x:row r="53" ht="15" hidden="0" customHeight="1">
      <x:c r="A53" s="2"/>
      <x:c r="B53" s="2"/>
      <x:c r="C53" s="2" t="n">
        <x:v>47</x:v>
      </x:c>
      <x:c r="D53" s="39" t="n">
        <x:f>H52</x:f>
        <x:v>30921874.110365268</x:v>
      </x:c>
      <x:c r="E53" s="39" t="n">
        <x:f>$F$4</x:f>
        <x:v>210750.64481159046</x:v>
      </x:c>
      <x:c r="F53" s="39" t="n">
        <x:f>D53*Assumptions!$D$23/12</x:f>
        <x:v>148167.31344550024</x:v>
      </x:c>
      <x:c r="G53" s="39" t="n">
        <x:f>E53-F53</x:f>
        <x:v>62583.33136609022</x:v>
      </x:c>
      <x:c r="H53" s="39" t="n">
        <x:f>D53-G53</x:f>
        <x:v>30859290.778999176</x:v>
      </x:c>
      <x:c r="I53" s="2"/>
      <x:c r="J53" s="2"/>
    </x:row>
    <x:row r="54" ht="15" hidden="0" customHeight="1">
      <x:c r="A54" s="2"/>
      <x:c r="B54" s="2"/>
      <x:c r="C54" s="2" t="n">
        <x:v>48</x:v>
      </x:c>
      <x:c r="D54" s="39" t="n">
        <x:f>H53</x:f>
        <x:v>30859290.778999176</x:v>
      </x:c>
      <x:c r="E54" s="39" t="n">
        <x:f>$F$4</x:f>
        <x:v>210750.64481159046</x:v>
      </x:c>
      <x:c r="F54" s="39" t="n">
        <x:f>D54*Assumptions!$D$23/12</x:f>
        <x:v>147867.43498270438</x:v>
      </x:c>
      <x:c r="G54" s="39" t="n">
        <x:f>E54-F54</x:f>
        <x:v>62883.20982888609</x:v>
      </x:c>
      <x:c r="H54" s="39" t="n">
        <x:f>D54-G54</x:f>
        <x:v>30796407.56917029</x:v>
      </x:c>
      <x:c r="I54" s="2"/>
      <x:c r="J54" s="2"/>
    </x:row>
    <x:row r="55" ht="15" hidden="0" customHeight="1">
      <x:c r="A55" s="2"/>
      <x:c r="B55" s="2"/>
      <x:c r="C55" s="2" t="n">
        <x:v>49</x:v>
      </x:c>
      <x:c r="D55" s="39" t="n">
        <x:f>H54</x:f>
        <x:v>30796407.56917029</x:v>
      </x:c>
      <x:c r="E55" s="39" t="n">
        <x:f>$F$4</x:f>
        <x:v>210750.64481159046</x:v>
      </x:c>
      <x:c r="F55" s="39" t="n">
        <x:f>D55*Assumptions!$D$23/12</x:f>
        <x:v>147566.1196022743</x:v>
      </x:c>
      <x:c r="G55" s="39" t="n">
        <x:f>E55-F55</x:f>
        <x:v>63184.52520931617</x:v>
      </x:c>
      <x:c r="H55" s="39" t="n">
        <x:f>D55-G55</x:f>
        <x:v>30733223.043960974</x:v>
      </x:c>
      <x:c r="I55" s="2"/>
      <x:c r="J55" s="2"/>
    </x:row>
    <x:row r="56" ht="15" hidden="0" customHeight="1">
      <x:c r="A56" s="2"/>
      <x:c r="B56" s="2"/>
      <x:c r="C56" s="2" t="n">
        <x:v>50</x:v>
      </x:c>
      <x:c r="D56" s="39" t="n">
        <x:f>H55</x:f>
        <x:v>30733223.043960974</x:v>
      </x:c>
      <x:c r="E56" s="39" t="n">
        <x:f>$F$4</x:f>
        <x:v>210750.64481159046</x:v>
      </x:c>
      <x:c r="F56" s="39" t="n">
        <x:f>D56*Assumptions!$D$23/12</x:f>
        <x:v>147263.3604189797</x:v>
      </x:c>
      <x:c r="G56" s="39" t="n">
        <x:f>E56-F56</x:f>
        <x:v>63487.284392610774</x:v>
      </x:c>
      <x:c r="H56" s="39" t="n">
        <x:f>D56-G56</x:f>
        <x:v>30669735.759568363</x:v>
      </x:c>
      <x:c r="I56" s="2"/>
      <x:c r="J56" s="2"/>
    </x:row>
    <x:row r="57" ht="15" hidden="0" customHeight="1">
      <x:c r="A57" s="2"/>
      <x:c r="B57" s="2"/>
      <x:c r="C57" s="2" t="n">
        <x:v>51</x:v>
      </x:c>
      <x:c r="D57" s="39" t="n">
        <x:f>H56</x:f>
        <x:v>30669735.759568363</x:v>
      </x:c>
      <x:c r="E57" s="39" t="n">
        <x:f>$F$4</x:f>
        <x:v>210750.64481159046</x:v>
      </x:c>
      <x:c r="F57" s="39" t="n">
        <x:f>D57*Assumptions!$D$23/12</x:f>
        <x:v>146959.1505145984</x:v>
      </x:c>
      <x:c r="G57" s="39" t="n">
        <x:f>E57-F57</x:f>
        <x:v>63791.49429699205</x:v>
      </x:c>
      <x:c r="H57" s="39" t="n">
        <x:f>D57-G57</x:f>
        <x:v>30605944.265271373</x:v>
      </x:c>
      <x:c r="I57" s="2"/>
      <x:c r="J57" s="2"/>
    </x:row>
    <x:row r="58" ht="15" hidden="0" customHeight="1">
      <x:c r="A58" s="2"/>
      <x:c r="B58" s="2"/>
      <x:c r="C58" s="2" t="n">
        <x:v>52</x:v>
      </x:c>
      <x:c r="D58" s="39" t="n">
        <x:f>H57</x:f>
        <x:v>30605944.265271373</x:v>
      </x:c>
      <x:c r="E58" s="39" t="n">
        <x:f>$F$4</x:f>
        <x:v>210750.64481159046</x:v>
      </x:c>
      <x:c r="F58" s="39" t="n">
        <x:f>D58*Assumptions!$D$23/12</x:f>
        <x:v>146653.48293775867</x:v>
      </x:c>
      <x:c r="G58" s="39" t="n">
        <x:f>E58-F58</x:f>
        <x:v>64097.16187383179</x:v>
      </x:c>
      <x:c r="H58" s="39" t="n">
        <x:f>D58-G58</x:f>
        <x:v>30541847.10339754</x:v>
      </x:c>
      <x:c r="I58" s="2"/>
      <x:c r="J58" s="2"/>
    </x:row>
    <x:row r="59" ht="15" hidden="0" customHeight="1">
      <x:c r="A59" s="2"/>
      <x:c r="B59" s="2"/>
      <x:c r="C59" s="2" t="n">
        <x:v>53</x:v>
      </x:c>
      <x:c r="D59" s="39" t="n">
        <x:f>H58</x:f>
        <x:v>30541847.10339754</x:v>
      </x:c>
      <x:c r="E59" s="39" t="n">
        <x:f>$F$4</x:f>
        <x:v>210750.64481159046</x:v>
      </x:c>
      <x:c r="F59" s="39" t="n">
        <x:f>D59*Assumptions!$D$23/12</x:f>
        <x:v>146346.35070377987</x:v>
      </x:c>
      <x:c r="G59" s="39" t="n">
        <x:f>E59-F59</x:f>
        <x:v>64404.294107810594</x:v>
      </x:c>
      <x:c r="H59" s="39" t="n">
        <x:f>D59-G59</x:f>
        <x:v>30477442.80928973</x:v>
      </x:c>
      <x:c r="I59" s="2"/>
      <x:c r="J59" s="2"/>
    </x:row>
    <x:row r="60" ht="15" hidden="0" customHeight="1">
      <x:c r="A60" s="2"/>
      <x:c r="B60" s="2"/>
      <x:c r="C60" s="2" t="n">
        <x:v>54</x:v>
      </x:c>
      <x:c r="D60" s="39" t="n">
        <x:f>H59</x:f>
        <x:v>30477442.80928973</x:v>
      </x:c>
      <x:c r="E60" s="39" t="n">
        <x:f>$F$4</x:f>
        <x:v>210750.64481159046</x:v>
      </x:c>
      <x:c r="F60" s="39" t="n">
        <x:f>D60*Assumptions!$D$23/12</x:f>
        <x:v>146037.7467945133</x:v>
      </x:c>
      <x:c r="G60" s="39" t="n">
        <x:f>E60-F60</x:f>
        <x:v>64712.898017077154</x:v>
      </x:c>
      <x:c r="H60" s="39" t="n">
        <x:f>D60-G60</x:f>
        <x:v>30412729.911272652</x:v>
      </x:c>
      <x:c r="I60" s="2"/>
      <x:c r="J60" s="2"/>
    </x:row>
    <x:row r="61" ht="15" hidden="0" customHeight="1">
      <x:c r="A61" s="2"/>
      <x:c r="B61" s="2"/>
      <x:c r="C61" s="2" t="n">
        <x:v>55</x:v>
      </x:c>
      <x:c r="D61" s="39" t="n">
        <x:f>H60</x:f>
        <x:v>30412729.911272652</x:v>
      </x:c>
      <x:c r="E61" s="39" t="n">
        <x:f>$F$4</x:f>
        <x:v>210750.64481159046</x:v>
      </x:c>
      <x:c r="F61" s="39" t="n">
        <x:f>D61*Assumptions!$D$23/12</x:f>
        <x:v>145727.66415818146</x:v>
      </x:c>
      <x:c r="G61" s="39" t="n">
        <x:f>E61-F61</x:f>
        <x:v>65022.980653409</x:v>
      </x:c>
      <x:c r="H61" s="39" t="n">
        <x:f>D61-G61</x:f>
        <x:v>30347706.930619244</x:v>
      </x:c>
      <x:c r="I61" s="2"/>
      <x:c r="J61" s="2"/>
    </x:row>
    <x:row r="62" ht="15" hidden="0" customHeight="1">
      <x:c r="A62" s="2"/>
      <x:c r="B62" s="2"/>
      <x:c r="C62" s="2" t="n">
        <x:v>56</x:v>
      </x:c>
      <x:c r="D62" s="39" t="n">
        <x:f>H61</x:f>
        <x:v>30347706.930619244</x:v>
      </x:c>
      <x:c r="E62" s="39" t="n">
        <x:f>$F$4</x:f>
        <x:v>210750.64481159046</x:v>
      </x:c>
      <x:c r="F62" s="39" t="n">
        <x:f>D62*Assumptions!$D$23/12</x:f>
        <x:v>145416.09570921722</x:v>
      </x:c>
      <x:c r="G62" s="39" t="n">
        <x:f>E62-F62</x:f>
        <x:v>65334.54910237325</x:v>
      </x:c>
      <x:c r="H62" s="39" t="n">
        <x:f>D62-G62</x:f>
        <x:v>30282372.38151687</x:v>
      </x:c>
      <x:c r="I62" s="2"/>
      <x:c r="J62" s="2"/>
    </x:row>
    <x:row r="63" ht="15" hidden="0" customHeight="1">
      <x:c r="A63" s="2"/>
      <x:c r="B63" s="2"/>
      <x:c r="C63" s="2" t="n">
        <x:v>57</x:v>
      </x:c>
      <x:c r="D63" s="39" t="n">
        <x:f>H62</x:f>
        <x:v>30282372.38151687</x:v>
      </x:c>
      <x:c r="E63" s="39" t="n">
        <x:f>$F$4</x:f>
        <x:v>210750.64481159046</x:v>
      </x:c>
      <x:c r="F63" s="39" t="n">
        <x:f>D63*Assumptions!$D$23/12</x:f>
        <x:v>145103.03432810167</x:v>
      </x:c>
      <x:c r="G63" s="39" t="n">
        <x:f>E63-F63</x:f>
        <x:v>65647.6104834888</x:v>
      </x:c>
      <x:c r="H63" s="39" t="n">
        <x:f>D63-G63</x:f>
        <x:v>30216724.77103338</x:v>
      </x:c>
      <x:c r="I63" s="2"/>
      <x:c r="J63" s="2"/>
    </x:row>
    <x:row r="64" ht="15" hidden="0" customHeight="1">
      <x:c r="A64" s="2"/>
      <x:c r="B64" s="2"/>
      <x:c r="C64" s="2" t="n">
        <x:v>58</x:v>
      </x:c>
      <x:c r="D64" s="39" t="n">
        <x:f>H63</x:f>
        <x:v>30216724.77103338</x:v>
      </x:c>
      <x:c r="E64" s="39" t="n">
        <x:f>$F$4</x:f>
        <x:v>210750.64481159046</x:v>
      </x:c>
      <x:c r="F64" s="39" t="n">
        <x:f>D64*Assumptions!$D$23/12</x:f>
        <x:v>144788.47286120162</x:v>
      </x:c>
      <x:c r="G64" s="39" t="n">
        <x:f>E64-F64</x:f>
        <x:v>65962.17195038885</x:v>
      </x:c>
      <x:c r="H64" s="39" t="n">
        <x:f>D64-G64</x:f>
        <x:v>30150762.59908299</x:v>
      </x:c>
      <x:c r="I64" s="2"/>
      <x:c r="J64" s="2"/>
    </x:row>
    <x:row r="65" ht="15" hidden="0" customHeight="1">
      <x:c r="A65" s="2"/>
      <x:c r="B65" s="2"/>
      <x:c r="C65" s="2" t="n">
        <x:v>59</x:v>
      </x:c>
      <x:c r="D65" s="39" t="n">
        <x:f>H64</x:f>
        <x:v>30150762.59908299</x:v>
      </x:c>
      <x:c r="E65" s="39" t="n">
        <x:f>$F$4</x:f>
        <x:v>210750.64481159046</x:v>
      </x:c>
      <x:c r="F65" s="39" t="n">
        <x:f>D65*Assumptions!$D$23/12</x:f>
        <x:v>144472.404120606</x:v>
      </x:c>
      <x:c r="G65" s="39" t="n">
        <x:f>E65-F65</x:f>
        <x:v>66278.24069098447</x:v>
      </x:c>
      <x:c r="H65" s="39" t="n">
        <x:f>D65-G65</x:f>
        <x:v>30084484.358392008</x:v>
      </x:c>
      <x:c r="I65" s="2"/>
      <x:c r="J65" s="2"/>
    </x:row>
    <x:row r="66" ht="15" hidden="0" customHeight="1">
      <x:c r="A66" s="2"/>
      <x:c r="B66" s="2"/>
      <x:c r="C66" s="2" t="n">
        <x:v>60</x:v>
      </x:c>
      <x:c r="D66" s="39" t="n">
        <x:f>H65</x:f>
        <x:v>30084484.358392008</x:v>
      </x:c>
      <x:c r="E66" s="39" t="n">
        <x:f>$F$4</x:f>
        <x:v>210750.64481159046</x:v>
      </x:c>
      <x:c r="F66" s="39" t="n">
        <x:f>D66*Assumptions!$D$23/12</x:f>
        <x:v>144154.82088396171</x:v>
      </x:c>
      <x:c r="G66" s="39" t="n">
        <x:f>E66-F66</x:f>
        <x:v>66595.82392762875</x:v>
      </x:c>
      <x:c r="H66" s="39" t="n">
        <x:f>D66-G66</x:f>
        <x:v>30017888.534464378</x:v>
      </x:c>
      <x:c r="I66" s="2"/>
      <x:c r="J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15" hidden="0" customHeight="1">
      <x:c r="A68" s="2"/>
      <x:c r="B68" s="2"/>
      <x:c r="C68" s="44" t="str">
        <x:v>Balance at maturity</x:v>
      </x:c>
      <x:c r="D68" s="44"/>
      <x:c r="E68" s="44"/>
      <x:c r="F68" s="44"/>
      <x:c r="G68" s="44"/>
      <x:c r="H68" s="45" t="n">
        <x:f>H66</x:f>
        <x:v>30017888.534464378</x:v>
      </x:c>
      <x:c r="I68" s="2"/>
      <x:c r="J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" max="1" width="3" hidden="0" customWidth="1"/>
    <x:col min="2" max="2" width="3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.200000762939453" hidden="0" customHeight="1">
      <x:c r="A2" s="2"/>
      <x:c r="B2" s="2"/>
      <x:c r="C2" s="3" t="str">
        <x:v>Credit sensitivity analysis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5" hidden="0" customHeight="1">
      <x:c r="A4" s="2"/>
      <x:c r="B4" s="2"/>
      <x:c r="C4" s="58" t="str">
        <x:v>DSCR by vacancy and interest rate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36" t="str">
        <x:v>Vacancy / Rate</x:v>
      </x:c>
      <x:c r="D6" s="59" t="n">
        <x:v>0.0475</x:v>
      </x:c>
      <x:c r="E6" s="59" t="n">
        <x:v>0.0525</x:v>
      </x:c>
      <x:c r="F6" s="59" t="n">
        <x:v>0.0575</x:v>
      </x:c>
      <x:c r="G6" s="59" t="n">
        <x:v>0.0625</x:v>
      </x:c>
      <x:c r="H6" s="59" t="n">
        <x:v>0.0675</x:v>
      </x:c>
      <x:c r="I6" s="2"/>
      <x:c r="J6" s="2"/>
      <x:c r="K6" s="2"/>
      <x:c r="L6" s="2"/>
      <x:c r="M6" s="2"/>
      <x:c r="N6" s="2"/>
    </x:row>
    <x:row r="7" ht="15" hidden="0" customHeight="1">
      <x:c r="A7" s="2"/>
      <x:c r="B7" s="2"/>
      <x:c r="C7" s="38" t="n">
        <x:v>0.03</x:v>
      </x:c>
      <x:c r="D7" s="55" t="n">
        <x:f>((Assumptions!D10*(Assumptions!D11+Assumptions!D12)*(1-$C7))-(Assumptions!D10*Assumptions!D14))/(-PMT(D$6/12,Assumptions!D24*12,Summary!D15)*12)</x:f>
        <x:v>1.478616740568581</x:v>
      </x:c>
      <x:c r="E7" s="55" t="n">
        <x:f>((Assumptions!D10*(Assumptions!D11+Assumptions!D12)*(1-$C7))-(Assumptions!D10*Assumptions!D14))/(-PMT(E$6/12,Assumptions!D24*12,Summary!D15)*12)</x:f>
        <x:v>1.4067389049383778</x:v>
      </x:c>
      <x:c r="F7" s="55" t="n">
        <x:f>((Assumptions!D10*(Assumptions!D11+Assumptions!D12)*(1-$C7))-(Assumptions!D10*Assumptions!D14))/(-PMT(F$6/12,Assumptions!D24*12,Summary!D15)*12)</x:f>
        <x:v>1.3399721754230622</x:v>
      </x:c>
      <x:c r="G7" s="55" t="n">
        <x:f>((Assumptions!D10*(Assumptions!D11+Assumptions!D12)*(1-$C7))-(Assumptions!D10*Assumptions!D14))/(-PMT(G$6/12,Assumptions!D24*12,Summary!D15)*12)</x:f>
        <x:v>1.277890261906738</x:v>
      </x:c>
      <x:c r="H7" s="55" t="n">
        <x:f>((Assumptions!D10*(Assumptions!D11+Assumptions!D12)*(1-$C7))-(Assumptions!D10*Assumptions!D14))/(-PMT(H$6/12,Assumptions!D24*12,Summary!D15)*12)</x:f>
        <x:v>1.2201056775936894</x:v>
      </x:c>
      <x:c r="I7" s="2"/>
      <x:c r="J7" s="2"/>
      <x:c r="K7" s="2"/>
      <x:c r="L7" s="2"/>
      <x:c r="M7" s="2"/>
      <x:c r="N7" s="2"/>
    </x:row>
    <x:row r="8" ht="15" hidden="0" customHeight="1">
      <x:c r="A8" s="2"/>
      <x:c r="B8" s="2"/>
      <x:c r="C8" s="38" t="n">
        <x:v>0.05</x:v>
      </x:c>
      <x:c r="D8" s="55" t="n">
        <x:f>((Assumptions!D10*(Assumptions!D11+Assumptions!D12)*(1-$C8))-(Assumptions!D10*Assumptions!D14))/(-PMT(D$6/12,Assumptions!D24*12,Summary!D15)*12)</x:f>
        <x:v>1.434635222789629</x:v>
      </x:c>
      <x:c r="E8" s="55" t="n">
        <x:f>((Assumptions!D10*(Assumptions!D11+Assumptions!D12)*(1-$C8))-(Assumptions!D10*Assumptions!D14))/(-PMT(E$6/12,Assumptions!D24*12,Summary!D15)*12)</x:f>
        <x:v>1.3648953964345452</x:v>
      </x:c>
      <x:c r="F8" s="55" t="n">
        <x:f>((Assumptions!D10*(Assumptions!D11+Assumptions!D12)*(1-$C8))-(Assumptions!D10*Assumptions!D14))/(-PMT(F$6/12,Assumptions!D24*12,Summary!D15)*12)</x:f>
        <x:v>1.3001146461257758</x:v>
      </x:c>
      <x:c r="G8" s="55" t="n">
        <x:f>((Assumptions!D10*(Assumptions!D11+Assumptions!D12)*(1-$C8))-(Assumptions!D10*Assumptions!D14))/(-PMT(G$6/12,Assumptions!D24*12,Summary!D15)*12)</x:f>
        <x:v>1.2398793617650363</x:v>
      </x:c>
      <x:c r="H8" s="55" t="n">
        <x:f>((Assumptions!D10*(Assumptions!D11+Assumptions!D12)*(1-$C8))-(Assumptions!D10*Assumptions!D14))/(-PMT(H$6/12,Assumptions!D24*12,Summary!D15)*12)</x:f>
        <x:v>1.1838135823678146</x:v>
      </x:c>
      <x:c r="I8" s="2"/>
      <x:c r="J8" s="2"/>
      <x:c r="K8" s="2"/>
      <x:c r="L8" s="2"/>
      <x:c r="M8" s="2"/>
      <x:c r="N8" s="2"/>
    </x:row>
    <x:row r="9" ht="15" hidden="0" customHeight="1">
      <x:c r="A9" s="2"/>
      <x:c r="B9" s="2"/>
      <x:c r="C9" s="38" t="n">
        <x:v>0.07</x:v>
      </x:c>
      <x:c r="D9" s="55" t="n">
        <x:f>((Assumptions!D10*(Assumptions!D11+Assumptions!D12)*(1-$C9))-(Assumptions!D10*Assumptions!D14))/(-PMT(D$6/12,Assumptions!D24*12,Summary!D15)*12)</x:f>
        <x:v>1.3906537050106769</x:v>
      </x:c>
      <x:c r="E9" s="55" t="n">
        <x:f>((Assumptions!D10*(Assumptions!D11+Assumptions!D12)*(1-$C9))-(Assumptions!D10*Assumptions!D14))/(-PMT(E$6/12,Assumptions!D24*12,Summary!D15)*12)</x:f>
        <x:v>1.3230518879307123</x:v>
      </x:c>
      <x:c r="F9" s="55" t="n">
        <x:f>((Assumptions!D10*(Assumptions!D11+Assumptions!D12)*(1-$C9))-(Assumptions!D10*Assumptions!D14))/(-PMT(F$6/12,Assumptions!D24*12,Summary!D15)*12)</x:f>
        <x:v>1.260257116828489</x:v>
      </x:c>
      <x:c r="G9" s="55" t="n">
        <x:f>((Assumptions!D10*(Assumptions!D11+Assumptions!D12)*(1-$C9))-(Assumptions!D10*Assumptions!D14))/(-PMT(G$6/12,Assumptions!D24*12,Summary!D15)*12)</x:f>
        <x:v>1.2018684616233344</x:v>
      </x:c>
      <x:c r="H9" s="55" t="n">
        <x:f>((Assumptions!D10*(Assumptions!D11+Assumptions!D12)*(1-$C9))-(Assumptions!D10*Assumptions!D14))/(-PMT(H$6/12,Assumptions!D24*12,Summary!D15)*12)</x:f>
        <x:v>1.1475214871419401</x:v>
      </x:c>
      <x:c r="I9" s="2"/>
      <x:c r="J9" s="2"/>
      <x:c r="K9" s="2"/>
      <x:c r="L9" s="2"/>
      <x:c r="M9" s="2"/>
      <x:c r="N9" s="2"/>
    </x:row>
    <x:row r="10" ht="15" hidden="0" customHeight="1">
      <x:c r="A10" s="2"/>
      <x:c r="B10" s="2"/>
      <x:c r="C10" s="38" t="n">
        <x:v>0.09</x:v>
      </x:c>
      <x:c r="D10" s="55" t="n">
        <x:f>((Assumptions!D10*(Assumptions!D11+Assumptions!D12)*(1-$C10))-(Assumptions!D10*Assumptions!D14))/(-PMT(D$6/12,Assumptions!D24*12,Summary!D15)*12)</x:f>
        <x:v>1.3466721872317247</x:v>
      </x:c>
      <x:c r="E10" s="55" t="n">
        <x:f>((Assumptions!D10*(Assumptions!D11+Assumptions!D12)*(1-$C10))-(Assumptions!D10*Assumptions!D14))/(-PMT(E$6/12,Assumptions!D24*12,Summary!D15)*12)</x:f>
        <x:v>1.2812083794268796</x:v>
      </x:c>
      <x:c r="F10" s="55" t="n">
        <x:f>((Assumptions!D10*(Assumptions!D11+Assumptions!D12)*(1-$C10))-(Assumptions!D10*Assumptions!D14))/(-PMT(F$6/12,Assumptions!D24*12,Summary!D15)*12)</x:f>
        <x:v>1.2203995875312026</x:v>
      </x:c>
      <x:c r="G10" s="55" t="n">
        <x:f>((Assumptions!D10*(Assumptions!D11+Assumptions!D12)*(1-$C10))-(Assumptions!D10*Assumptions!D14))/(-PMT(G$6/12,Assumptions!D24*12,Summary!D15)*12)</x:f>
        <x:v>1.1638575614816327</x:v>
      </x:c>
      <x:c r="H10" s="55" t="n">
        <x:f>((Assumptions!D10*(Assumptions!D11+Assumptions!D12)*(1-$C10))-(Assumptions!D10*Assumptions!D14))/(-PMT(H$6/12,Assumptions!D24*12,Summary!D15)*12)</x:f>
        <x:v>1.1112293919160654</x:v>
      </x:c>
      <x:c r="I10" s="2"/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38" t="n">
        <x:v>0.11</x:v>
      </x:c>
      <x:c r="D11" s="55" t="n">
        <x:f>((Assumptions!D10*(Assumptions!D11+Assumptions!D12)*(1-$C11))-(Assumptions!D10*Assumptions!D14))/(-PMT(D$6/12,Assumptions!D24*12,Summary!D15)*12)</x:f>
        <x:v>1.3026906694527727</x:v>
      </x:c>
      <x:c r="E11" s="55" t="n">
        <x:f>((Assumptions!D10*(Assumptions!D11+Assumptions!D12)*(1-$C11))-(Assumptions!D10*Assumptions!D14))/(-PMT(E$6/12,Assumptions!D24*12,Summary!D15)*12)</x:f>
        <x:v>1.2393648709230467</x:v>
      </x:c>
      <x:c r="F11" s="55" t="n">
        <x:f>((Assumptions!D10*(Assumptions!D11+Assumptions!D12)*(1-$C11))-(Assumptions!D10*Assumptions!D14))/(-PMT(F$6/12,Assumptions!D24*12,Summary!D15)*12)</x:f>
        <x:v>1.1805420582339161</x:v>
      </x:c>
      <x:c r="G11" s="55" t="n">
        <x:f>((Assumptions!D10*(Assumptions!D11+Assumptions!D12)*(1-$C11))-(Assumptions!D10*Assumptions!D14))/(-PMT(G$6/12,Assumptions!D24*12,Summary!D15)*12)</x:f>
        <x:v>1.1258466613399307</x:v>
      </x:c>
      <x:c r="H11" s="55" t="n">
        <x:f>((Assumptions!D10*(Assumptions!D11+Assumptions!D12)*(1-$C11))-(Assumptions!D10*Assumptions!D14))/(-PMT(H$6/12,Assumptions!D24*12,Summary!D15)*12)</x:f>
        <x:v>1.074937296690191</x:v>
      </x:c>
      <x:c r="I11" s="2"/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58" t="str">
        <x:v>LTV by capitalization rate and valuation adjustment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36" t="str">
        <x:v>Value adj. / Cap rate</x:v>
      </x:c>
      <x:c r="D16" s="59" t="n">
        <x:v>0.0525</x:v>
      </x:c>
      <x:c r="E16" s="59" t="n">
        <x:v>0.055</x:v>
      </x:c>
      <x:c r="F16" s="59" t="n">
        <x:v>0.0575</x:v>
      </x:c>
      <x:c r="G16" s="59" t="n">
        <x:v>0.06</x:v>
      </x:c>
      <x:c r="H16" s="59" t="n">
        <x:v>0.0625</x:v>
      </x:c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60" t="n">
        <x:v>-0.1</x:v>
      </x:c>
      <x:c r="D17" s="38" t="n">
        <x:f>Summary!D15/MIN(('Operating Forecast'!D15/D$16)*(1+$C17),'Comparable Sales'!J13*(1+$C17))</x:f>
        <x:v>0.6539134188456888</x:v>
      </x:c>
      <x:c r="E17" s="38" t="n">
        <x:f>Summary!D15/MIN(('Operating Forecast'!D15/E$16)*(1+$C17),'Comparable Sales'!J13*(1+$C17))</x:f>
        <x:v>0.6539134188456888</x:v>
      </x:c>
      <x:c r="F17" s="38" t="n">
        <x:f>Summary!D15/MIN(('Operating Forecast'!D15/F$16)*(1+$C17),'Comparable Sales'!J13*(1+$C17))</x:f>
        <x:v>0.6539134188456888</x:v>
      </x:c>
      <x:c r="G17" s="38" t="n">
        <x:f>Summary!D15/MIN(('Operating Forecast'!D15/G$16)*(1+$C17),'Comparable Sales'!J13*(1+$C17))</x:f>
        <x:v>0.6792376317923763</x:v>
      </x:c>
      <x:c r="H17" s="38" t="n">
        <x:f>Summary!D15/MIN(('Operating Forecast'!D15/H$16)*(1+$C17),'Comparable Sales'!J13*(1+$C17))</x:f>
        <x:v>0.7075391997837254</x:v>
      </x:c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60" t="n">
        <x:v>-0.05</x:v>
      </x:c>
      <x:c r="D18" s="38" t="n">
        <x:f>Summary!D15/MIN(('Operating Forecast'!D15/D$16)*(1+$C18),'Comparable Sales'!J13*(1+$C18))</x:f>
        <x:v>0.6194969231169684</x:v>
      </x:c>
      <x:c r="E18" s="38" t="n">
        <x:f>Summary!D15/MIN(('Operating Forecast'!D15/E$16)*(1+$C18),'Comparable Sales'!J13*(1+$C18))</x:f>
        <x:v>0.6194969231169684</x:v>
      </x:c>
      <x:c r="F18" s="38" t="n">
        <x:f>Summary!D15/MIN(('Operating Forecast'!D15/F$16)*(1+$C18),'Comparable Sales'!J13*(1+$C18))</x:f>
        <x:v>0.6194969231169684</x:v>
      </x:c>
      <x:c r="G18" s="38" t="n">
        <x:f>Summary!D15/MIN(('Operating Forecast'!D15/G$16)*(1+$C18),'Comparable Sales'!J13*(1+$C18))</x:f>
        <x:v>0.6434882827506723</x:v>
      </x:c>
      <x:c r="H18" s="38" t="n">
        <x:f>Summary!D15/MIN(('Operating Forecast'!D15/H$16)*(1+$C18),'Comparable Sales'!J13*(1+$C18))</x:f>
        <x:v>0.6703002945319503</x:v>
      </x:c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60" t="n">
        <x:v>0</x:v>
      </x:c>
      <x:c r="D19" s="38" t="n">
        <x:f>Summary!D15/MIN(('Operating Forecast'!D15/D$16)*(1+$C19),'Comparable Sales'!J13*(1+$C19))</x:f>
        <x:v>0.5885220769611199</x:v>
      </x:c>
      <x:c r="E19" s="38" t="n">
        <x:f>Summary!D15/MIN(('Operating Forecast'!D15/E$16)*(1+$C19),'Comparable Sales'!J13*(1+$C19))</x:f>
        <x:v>0.5885220769611199</x:v>
      </x:c>
      <x:c r="F19" s="38" t="n">
        <x:f>Summary!D15/MIN(('Operating Forecast'!D15/F$16)*(1+$C19),'Comparable Sales'!J13*(1+$C19))</x:f>
        <x:v>0.5885220769611199</x:v>
      </x:c>
      <x:c r="G19" s="38" t="n">
        <x:f>Summary!D15/MIN(('Operating Forecast'!D15/G$16)*(1+$C19),'Comparable Sales'!J13*(1+$C19))</x:f>
        <x:v>0.6113138686131386</x:v>
      </x:c>
      <x:c r="H19" s="38" t="n">
        <x:f>Summary!D15/MIN(('Operating Forecast'!D15/H$16)*(1+$C19),'Comparable Sales'!J13*(1+$C19))</x:f>
        <x:v>0.6367852798053528</x:v>
      </x:c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60" t="n">
        <x:v>0.05</x:v>
      </x:c>
      <x:c r="D20" s="38" t="n">
        <x:f>Summary!D15/MIN(('Operating Forecast'!D15/D$16)*(1+$C20),'Comparable Sales'!J13*(1+$C20))</x:f>
        <x:v>0.5604972161534475</x:v>
      </x:c>
      <x:c r="E20" s="38" t="n">
        <x:f>Summary!D15/MIN(('Operating Forecast'!D15/E$16)*(1+$C20),'Comparable Sales'!J13*(1+$C20))</x:f>
        <x:v>0.5604972161534475</x:v>
      </x:c>
      <x:c r="F20" s="38" t="n">
        <x:f>Summary!D15/MIN(('Operating Forecast'!D15/F$16)*(1+$C20),'Comparable Sales'!J13*(1+$C20))</x:f>
        <x:v>0.5604972161534475</x:v>
      </x:c>
      <x:c r="G20" s="38" t="n">
        <x:f>Summary!D15/MIN(('Operating Forecast'!D15/G$16)*(1+$C20),'Comparable Sales'!J13*(1+$C20))</x:f>
        <x:v>0.5822036843934654</x:v>
      </x:c>
      <x:c r="H20" s="38" t="n">
        <x:f>Summary!D15/MIN(('Operating Forecast'!D15/H$16)*(1+$C20),'Comparable Sales'!J13*(1+$C20))</x:f>
        <x:v>0.6064621712431931</x:v>
      </x:c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60" t="n">
        <x:v>0.1</x:v>
      </x:c>
      <x:c r="D21" s="38" t="n">
        <x:f>Summary!D15/MIN(('Operating Forecast'!D15/D$16)*(1+$C21),'Comparable Sales'!J13*(1+$C21))</x:f>
        <x:v>0.5350200699646545</x:v>
      </x:c>
      <x:c r="E21" s="38" t="n">
        <x:f>Summary!D15/MIN(('Operating Forecast'!D15/E$16)*(1+$C21),'Comparable Sales'!J13*(1+$C21))</x:f>
        <x:v>0.5350200699646545</x:v>
      </x:c>
      <x:c r="F21" s="38" t="n">
        <x:f>Summary!D15/MIN(('Operating Forecast'!D15/F$16)*(1+$C21),'Comparable Sales'!J13*(1+$C21))</x:f>
        <x:v>0.5350200699646545</x:v>
      </x:c>
      <x:c r="G21" s="38" t="n">
        <x:f>Summary!D15/MIN(('Operating Forecast'!D15/G$16)*(1+$C21),'Comparable Sales'!J13*(1+$C21))</x:f>
        <x:v>0.5557398805573988</x:v>
      </x:c>
      <x:c r="H21" s="38" t="n">
        <x:f>Summary!D15/MIN(('Operating Forecast'!D15/H$16)*(1+$C21),'Comparable Sales'!J13*(1+$C21))</x:f>
        <x:v>0.578895708913957</x:v>
      </x:c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</x:sheetData>
  <x:conditionalFormatting sqref="D7:H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17:H21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8" hidden="0" customWidth="1"/>
    <x:col min="4" max="4" width="16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" max="1" width="3" hidden="0" customWidth="1"/>
    <x:col min="2" max="2" width="3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19.200000762939453" hidden="0" customHeight="1">
      <x:c r="A2" s="2"/>
      <x:c r="B2" s="2"/>
      <x:c r="C2" s="3" t="str">
        <x:v>Comparable industrial property sales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15" hidden="0" customHeight="1">
      <x:c r="A5" s="2"/>
      <x:c r="B5" s="2"/>
      <x:c r="C5" s="36" t="str">
        <x:v>Comparable</x:v>
      </x:c>
      <x:c r="D5" s="36" t="str">
        <x:v>Market</x:v>
      </x:c>
      <x:c r="E5" s="36" t="str">
        <x:v>Sale date</x:v>
      </x:c>
      <x:c r="F5" s="36" t="str">
        <x:v>Area (sf)</x:v>
      </x:c>
      <x:c r="G5" s="36" t="str">
        <x:v>Sale price</x:v>
      </x:c>
      <x:c r="H5" s="36" t="str">
        <x:v>Price / sf</x:v>
      </x:c>
      <x:c r="I5" s="36" t="str">
        <x:v>Adjustment</x:v>
      </x:c>
      <x:c r="J5" s="36" t="str">
        <x:v>Adjusted price / sf</x:v>
      </x:c>
    </x:row>
    <x:row r="6" ht="15" hidden="0" customHeight="1">
      <x:c r="A6" s="2"/>
      <x:c r="B6" s="2"/>
      <x:c r="C6" s="2" t="str">
        <x:v>Comp A</x:v>
      </x:c>
      <x:c r="D6" s="2" t="str">
        <x:v>Burnaby</x:v>
      </x:c>
      <x:c r="E6" s="40" t="n">
        <x:v>46068</x:v>
      </x:c>
      <x:c r="F6" s="41" t="n">
        <x:v>185000</x:v>
      </x:c>
      <x:c r="G6" s="39" t="n">
        <x:v>53000000</x:v>
      </x:c>
      <x:c r="H6" s="37" t="n">
        <x:f>G6/F6</x:f>
        <x:v>286.4864864864865</x:v>
      </x:c>
      <x:c r="I6" s="38" t="n">
        <x:v>0.02</x:v>
      </x:c>
      <x:c r="J6" s="37" t="n">
        <x:f>H6*(1+I6)</x:f>
        <x:v>292.21621621621625</x:v>
      </x:c>
    </x:row>
    <x:row r="7" ht="15" hidden="0" customHeight="1">
      <x:c r="A7" s="2"/>
      <x:c r="B7" s="2"/>
      <x:c r="C7" s="2" t="str">
        <x:v>Comp B</x:v>
      </x:c>
      <x:c r="D7" s="2" t="str">
        <x:v>Richmond</x:v>
      </x:c>
      <x:c r="E7" s="40" t="n">
        <x:v>46042</x:v>
      </x:c>
      <x:c r="F7" s="41" t="n">
        <x:v>225000</x:v>
      </x:c>
      <x:c r="G7" s="39" t="n">
        <x:v>62775000</x:v>
      </x:c>
      <x:c r="H7" s="37" t="n">
        <x:f>G7/F7</x:f>
        <x:v>279</x:v>
      </x:c>
      <x:c r="I7" s="38" t="n">
        <x:v>0.01</x:v>
      </x:c>
      <x:c r="J7" s="37" t="n">
        <x:f>H7*(1+I7)</x:f>
        <x:v>281.79</x:v>
      </x:c>
    </x:row>
    <x:row r="8" ht="15" hidden="0" customHeight="1">
      <x:c r="A8" s="2"/>
      <x:c r="B8" s="2"/>
      <x:c r="C8" s="2" t="str">
        <x:v>Comp C</x:v>
      </x:c>
      <x:c r="D8" s="2" t="str">
        <x:v>Delta</x:v>
      </x:c>
      <x:c r="E8" s="40" t="n">
        <x:v>45971</x:v>
      </x:c>
      <x:c r="F8" s="41" t="n">
        <x:v>198000</x:v>
      </x:c>
      <x:c r="G8" s="39" t="n">
        <x:v>54450000</x:v>
      </x:c>
      <x:c r="H8" s="37" t="n">
        <x:f>G8/F8</x:f>
        <x:v>275</x:v>
      </x:c>
      <x:c r="I8" s="38" t="n">
        <x:v>0.03</x:v>
      </x:c>
      <x:c r="J8" s="37" t="n">
        <x:f>H8*(1+I8)</x:f>
        <x:v>283.25</x:v>
      </x:c>
    </x:row>
    <x:row r="9" ht="15" hidden="0" customHeight="1">
      <x:c r="A9" s="2"/>
      <x:c r="B9" s="2"/>
      <x:c r="C9" s="2" t="str">
        <x:v>Comp D</x:v>
      </x:c>
      <x:c r="D9" s="2" t="str">
        <x:v>Surrey</x:v>
      </x:c>
      <x:c r="E9" s="40" t="n">
        <x:v>45918</x:v>
      </x:c>
      <x:c r="F9" s="41" t="n">
        <x:v>240000</x:v>
      </x:c>
      <x:c r="G9" s="39" t="n">
        <x:v>64800000</x:v>
      </x:c>
      <x:c r="H9" s="37" t="n">
        <x:f>G9/F9</x:f>
        <x:v>270</x:v>
      </x:c>
      <x:c r="I9" s="38" t="n">
        <x:v>0.04</x:v>
      </x:c>
      <x:c r="J9" s="37" t="n">
        <x:f>H9*(1+I9)</x:f>
        <x:v>280.8</x:v>
      </x:c>
    </x:row>
    <x:row r="10" ht="15" hidden="0" customHeight="1">
      <x:c r="A10" s="2"/>
      <x:c r="B10" s="2"/>
      <x:c r="C10" s="2" t="str">
        <x:v>Comp E</x:v>
      </x:c>
      <x:c r="D10" s="2" t="str">
        <x:v>Coquitlam</x:v>
      </x:c>
      <x:c r="E10" s="40" t="n">
        <x:v>45876</x:v>
      </x:c>
      <x:c r="F10" s="41" t="n">
        <x:v>172000</x:v>
      </x:c>
      <x:c r="G10" s="39" t="n">
        <x:v>49020000</x:v>
      </x:c>
      <x:c r="H10" s="37" t="n">
        <x:f>G10/F10</x:f>
        <x:v>285</x:v>
      </x:c>
      <x:c r="I10" s="38" t="n">
        <x:v>0</x:v>
      </x:c>
      <x:c r="J10" s="37" t="n">
        <x:f>H10*(1+I10)</x:f>
        <x:v>285</x:v>
      </x:c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37"/>
    </x:row>
    <x:row r="12" ht="15" hidden="0" customHeight="1">
      <x:c r="A12" s="2"/>
      <x:c r="B12" s="2"/>
      <x:c r="C12" s="5" t="str">
        <x:v>Average</x:v>
      </x:c>
      <x:c r="D12" s="5"/>
      <x:c r="E12" s="5"/>
      <x:c r="F12" s="5"/>
      <x:c r="G12" s="5"/>
      <x:c r="H12" s="5"/>
      <x:c r="I12" s="5"/>
      <x:c r="J12" s="42" t="n">
        <x:f>AVERAGE(J6:J10)</x:f>
        <x:v>284.6112432432432</x:v>
      </x:c>
    </x:row>
    <x:row r="13" ht="15" hidden="0" customHeight="1">
      <x:c r="A13" s="2"/>
      <x:c r="B13" s="2"/>
      <x:c r="C13" s="44" t="str">
        <x:v>Indicated comparable value</x:v>
      </x:c>
      <x:c r="D13" s="44"/>
      <x:c r="E13" s="44"/>
      <x:c r="F13" s="44"/>
      <x:c r="G13" s="44"/>
      <x:c r="H13" s="44"/>
      <x:c r="I13" s="44"/>
      <x:c r="J13" s="45" t="n">
        <x:f>J12*Assumptions!D10</x:f>
        <x:v>56922248.64864864</x:v>
      </x:c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3" max="3" width="42" hidden="0" customWidth="1"/>
    <x:col min="4" max="4" width="18" hidden="0" customWidth="1"/>
    <x:col min="5" max="5" width="18" hidden="0" customWidth="1"/>
    <x:col min="6" max="6" width="16" hidden="0" customWidth="1"/>
    <x:col min="1" max="1" width="3" hidden="0" customWidth="1"/>
    <x:col min="2" max="2" width="3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</x:row>
    <x:row r="2" ht="19.200000762939453" hidden="0" customHeight="1">
      <x:c r="A2" s="2"/>
      <x:c r="B2" s="2"/>
      <x:c r="C2" s="3" t="str">
        <x:v>Model audit</x:v>
      </x:c>
      <x:c r="D2" s="2"/>
      <x:c r="E2" s="2"/>
      <x:c r="F2" s="2"/>
      <x:c r="G2" s="2"/>
      <x:c r="H2" s="2"/>
    </x:row>
    <x:row r="3" ht="15" hidden="0" customHeight="1">
      <x:c r="A3" s="2"/>
      <x:c r="B3" s="2"/>
      <x:c r="C3" s="4"/>
      <x:c r="D3" s="4"/>
      <x:c r="E3" s="4"/>
      <x:c r="F3" s="4"/>
      <x:c r="G3" s="4"/>
      <x:c r="H3" s="4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</x:row>
    <x:row r="5" ht="15" hidden="0" customHeight="1">
      <x:c r="A5" s="2"/>
      <x:c r="B5" s="2"/>
      <x:c r="C5" s="36" t="str">
        <x:v>Check</x:v>
      </x:c>
      <x:c r="D5" s="36" t="str">
        <x:v>Difference</x:v>
      </x:c>
      <x:c r="E5" s="36" t="str">
        <x:v>Tolerance</x:v>
      </x:c>
      <x:c r="F5" s="36" t="str">
        <x:v>Status</x:v>
      </x:c>
      <x:c r="G5" s="2"/>
      <x:c r="H5" s="2"/>
    </x:row>
    <x:row r="6" ht="15" hidden="0" customHeight="1">
      <x:c r="A6" s="2"/>
      <x:c r="B6" s="2"/>
      <x:c r="C6" s="2" t="str">
        <x:v>Loan does not exceed requested amount</x:v>
      </x:c>
      <x:c r="D6" s="61" t="n">
        <x:f>MAX(0,Summary!D15-Summary!D11)</x:f>
        <x:v>0</x:v>
      </x:c>
      <x:c r="E6" s="61" t="n">
        <x:v>0.01</x:v>
      </x:c>
      <x:c r="F6" s="2" t="str">
        <x:f>IF(ABS(D6)&lt;=E6,"PASS","FAIL")</x:f>
        <x:v>PASS</x:v>
      </x:c>
      <x:c r="G6" s="2"/>
      <x:c r="H6" s="2"/>
    </x:row>
    <x:row r="7" ht="15" hidden="0" customHeight="1">
      <x:c r="A7" s="2"/>
      <x:c r="B7" s="2"/>
      <x:c r="C7" s="2" t="str">
        <x:v>Loan does not exceed LTV capacity</x:v>
      </x:c>
      <x:c r="D7" s="61" t="n">
        <x:f>MAX(0,Summary!D15-Summary!D12)</x:f>
        <x:v>0</x:v>
      </x:c>
      <x:c r="E7" s="61" t="n">
        <x:v>0.01</x:v>
      </x:c>
      <x:c r="F7" s="2" t="str">
        <x:f>IF(ABS(D7)&lt;=E7,"PASS","FAIL")</x:f>
        <x:v>PASS</x:v>
      </x:c>
      <x:c r="G7" s="2"/>
      <x:c r="H7" s="2"/>
    </x:row>
    <x:row r="8" ht="15" hidden="0" customHeight="1">
      <x:c r="A8" s="2"/>
      <x:c r="B8" s="2"/>
      <x:c r="C8" s="2" t="str">
        <x:v>Loan does not exceed DSCR capacity</x:v>
      </x:c>
      <x:c r="D8" s="61" t="n">
        <x:f>MAX(0,Summary!D15-Summary!D13)</x:f>
        <x:v>0</x:v>
      </x:c>
      <x:c r="E8" s="61" t="n">
        <x:v>0.01</x:v>
      </x:c>
      <x:c r="F8" s="2" t="str">
        <x:f>IF(ABS(D8)&lt;=E8,"PASS","FAIL")</x:f>
        <x:v>PASS</x:v>
      </x:c>
      <x:c r="G8" s="2"/>
      <x:c r="H8" s="2"/>
    </x:row>
    <x:row r="9" ht="15" hidden="0" customHeight="1">
      <x:c r="A9" s="2"/>
      <x:c r="B9" s="2"/>
      <x:c r="C9" s="2" t="str">
        <x:v>Loan does not exceed debt-yield capacity</x:v>
      </x:c>
      <x:c r="D9" s="61" t="n">
        <x:f>MAX(0,Summary!D15-Summary!D14)</x:f>
        <x:v>0</x:v>
      </x:c>
      <x:c r="E9" s="61" t="n">
        <x:v>0.01</x:v>
      </x:c>
      <x:c r="F9" s="2" t="str">
        <x:f>IF(ABS(D9)&lt;=E9,"PASS","FAIL")</x:f>
        <x:v>PASS</x:v>
      </x:c>
      <x:c r="G9" s="2"/>
      <x:c r="H9" s="2"/>
    </x:row>
    <x:row r="10" ht="15" hidden="0" customHeight="1">
      <x:c r="A10" s="2"/>
      <x:c r="B10" s="2"/>
      <x:c r="C10" s="2" t="str">
        <x:v>Debt roll-forward reconciles</x:v>
      </x:c>
      <x:c r="D10" s="61" t="n">
        <x:f>ABS('Debt Schedule'!D7-SUM('Debt Schedule'!G7:G66)-'Debt Schedule'!H66)</x:f>
        <x:v>3.725290298461914e-9</x:v>
      </x:c>
      <x:c r="E10" s="61" t="n">
        <x:v>0.01</x:v>
      </x:c>
      <x:c r="F10" s="2" t="str">
        <x:f>IF(ABS(D10)&lt;=E10,"PASS","FAIL")</x:f>
        <x:v>PASS</x:v>
      </x:c>
      <x:c r="G10" s="2"/>
      <x:c r="H10" s="2"/>
    </x:row>
    <x:row r="11" ht="15" hidden="0" customHeight="1">
      <x:c r="A11" s="2"/>
      <x:c r="B11" s="2"/>
      <x:c r="C11" s="2" t="str">
        <x:v>Payments equal interest plus principal</x:v>
      </x:c>
      <x:c r="D11" s="61" t="n">
        <x:f>ABS(SUM('Debt Schedule'!E7:E66)-SUM('Debt Schedule'!F7:F66)-SUM('Debt Schedule'!G7:G66))</x:f>
        <x:v>9.313225746154785e-9</x:v>
      </x:c>
      <x:c r="E11" s="61" t="n">
        <x:v>0.01</x:v>
      </x:c>
      <x:c r="F11" s="2" t="str">
        <x:f>IF(ABS(D11)&lt;=E11,"PASS","FAIL")</x:f>
        <x:v>PASS</x:v>
      </x:c>
      <x:c r="G11" s="2"/>
      <x:c r="H11" s="2"/>
    </x:row>
    <x:row r="12" ht="15" hidden="0" customHeight="1">
      <x:c r="A12" s="2"/>
      <x:c r="B12" s="2"/>
      <x:c r="C12" s="2" t="str">
        <x:v>Year 1 NOI links to summary</x:v>
      </x:c>
      <x:c r="D12" s="61" t="n">
        <x:f>ABS(Summary!D7-'Operating Forecast'!D15)</x:f>
        <x:v>0</x:v>
      </x:c>
      <x:c r="E12" s="61" t="n">
        <x:v>0.01</x:v>
      </x:c>
      <x:c r="F12" s="2" t="str">
        <x:f>IF(ABS(D12)&lt;=E12,"PASS","FAIL")</x:f>
        <x:v>PASS</x:v>
      </x:c>
      <x:c r="G12" s="2"/>
      <x:c r="H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</x:row>
    <x:row r="14" ht="15" hidden="0" customHeight="1">
      <x:c r="A14" s="2"/>
      <x:c r="B14" s="2"/>
      <x:c r="C14" s="64" t="str">
        <x:v>Audit result</x:v>
      </x:c>
      <x:c r="D14" s="65" t="str">
        <x:f>IF(COUNTIF(F6:F12,"FAIL")=0,"All checks pass","Review failed checks")</x:f>
        <x:v>All checks pass</x:v>
      </x:c>
      <x:c r="E14" s="2"/>
      <x:c r="F14" s="2"/>
      <x:c r="G14" s="2"/>
      <x:c r="H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</x:row>
  </x:sheetData>
  <x:conditionalFormatting sqref="F6:F12">
    <x:cfRule type="containsText" dxfId="2" priority="1" operator="containsText" text="FAIL"/>
  </x:conditionalFormatting>
  <x:pageMargins left="0.7" right="0.7" top="0.75" bottom="0.75" header="0.3" footer="0.3"/>
</x:worksheet>
</file>